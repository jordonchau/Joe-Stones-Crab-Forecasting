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ja\OneDrive\Documents\"/>
    </mc:Choice>
  </mc:AlternateContent>
  <xr:revisionPtr revIDLastSave="0" documentId="13_ncr:1_{581AB114-DA8B-4209-AC90-21A0A09A1639}" xr6:coauthVersionLast="47" xr6:coauthVersionMax="47" xr10:uidLastSave="{00000000-0000-0000-0000-000000000000}"/>
  <bookViews>
    <workbookView xWindow="-120" yWindow="-120" windowWidth="29040" windowHeight="15720" xr2:uid="{756DB151-2E2C-492C-97C1-4A0E6CC88A29}"/>
  </bookViews>
  <sheets>
    <sheet name="Decomposition" sheetId="1" r:id="rId1"/>
    <sheet name="Foreca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L5" i="2"/>
  <c r="L4" i="2"/>
  <c r="L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2" i="2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2" i="2"/>
  <c r="H3" i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F2" i="1"/>
  <c r="F16" i="1" s="1"/>
  <c r="F3" i="1"/>
  <c r="F4" i="1"/>
  <c r="F5" i="1"/>
  <c r="F6" i="1"/>
  <c r="F7" i="1"/>
  <c r="F8" i="1"/>
  <c r="F9" i="1"/>
  <c r="F10" i="1"/>
  <c r="F11" i="1"/>
  <c r="F12" i="1"/>
  <c r="F13" i="1"/>
</calcChain>
</file>

<file path=xl/sharedStrings.xml><?xml version="1.0" encoding="utf-8"?>
<sst xmlns="http://schemas.openxmlformats.org/spreadsheetml/2006/main" count="65" uniqueCount="64">
  <si>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</si>
  <si>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</si>
  <si>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</si>
  <si>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</si>
  <si>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</si>
  <si>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</si>
  <si>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</si>
  <si>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</si>
  <si>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</si>
  <si>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</si>
  <si>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</si>
  <si>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</si>
  <si>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</si>
  <si>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Season Factor</t>
  </si>
  <si>
    <t>Benchmark</t>
  </si>
  <si>
    <t>Busy or Slow</t>
  </si>
  <si>
    <t>Period</t>
  </si>
  <si>
    <t>Year</t>
  </si>
  <si>
    <t>Demand</t>
  </si>
  <si>
    <t>S.F.</t>
  </si>
  <si>
    <t>Deasonal</t>
  </si>
  <si>
    <t>FIT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</si>
  <si>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</si>
  <si>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</si>
  <si>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</si>
  <si>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</si>
  <si>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</si>
  <si>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</si>
  <si>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</si>
  <si>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</si>
  <si>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</si>
  <si>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</si>
  <si>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</si>
  <si>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</si>
  <si>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</si>
  <si>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</si>
  <si>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</si>
  <si>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</si>
  <si>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</si>
  <si>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</si>
  <si>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</si>
  <si>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</si>
  <si>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</si>
  <si>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</si>
  <si>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</si>
  <si>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</si>
  <si>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</si>
  <si>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FIT = 169.89 + 0.96*t</t>
  </si>
  <si>
    <t>FITS</t>
  </si>
  <si>
    <t>Abs Error</t>
  </si>
  <si>
    <t>Error^2</t>
  </si>
  <si>
    <t>MAD</t>
  </si>
  <si>
    <t>MSE</t>
  </si>
  <si>
    <t>MAPE</t>
  </si>
  <si>
    <t>2020 Sales (thousands)</t>
  </si>
  <si>
    <t>2021 Sales (thousands)</t>
  </si>
  <si>
    <t>2022 Sales (thousands)</t>
  </si>
  <si>
    <t>2023 Sales (thousands)</t>
  </si>
  <si>
    <t>Average Demand (thousands)</t>
  </si>
  <si>
    <t>Figure 1. Season Factor</t>
  </si>
  <si>
    <t>Figure 2 Regression Model</t>
  </si>
  <si>
    <t>Figure 3 Forecast Table</t>
  </si>
  <si>
    <t>Figure 4</t>
  </si>
  <si>
    <t>Figure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</si>
</sst>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72 Black"/>
      <family val="2"/>
    </font>
    <font>
      <b/>
      <sz val="11"/>
      <color theme="1"/>
      <name val="72 Black"/>
      <family val="2"/>
    </font>
    <font>
      <sz val="18"/>
      <color theme="1"/>
      <name val="72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1" fontId="0" fillId="0" borderId="0" xfId="0" applyNumberFormat="1"/>
    <xf numFmtId="0" fontId="4" fillId="0" borderId="2" xfId="0" applyFont="1" applyBorder="1" applyAlignment="1">
      <alignment horizontal="centerContinuous"/>
    </xf>
    <xf numFmtId="0" fontId="2" fillId="0" borderId="1" xfId="0" applyFont="1" applyBorder="1"/>
    <xf numFmtId="0" fontId="4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vertical="center" wrapText="1"/>
    </xf>
    <xf numFmtId="2" fontId="2" fillId="0" borderId="3" xfId="0" applyNumberFormat="1" applyFont="1" applyBorder="1"/>
    <xf numFmtId="10" fontId="2" fillId="0" borderId="3" xfId="0" applyNumberFormat="1" applyFont="1" applyBorder="1"/>
    <xf numFmtId="1" fontId="5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/>
    <xf numFmtId="0" fontId="2" fillId="0" borderId="3" xfId="0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1" fillId="2" borderId="0" xfId="0" applyFont="1" applyFill="1"/>
    <xf numFmtId="0" fontId="7" fillId="0" borderId="0" xfId="0" applyFont="1"/>
    <xf numFmtId="0" fontId="2" fillId="2" borderId="3" xfId="0" applyFont="1" applyFill="1" applyBorder="1"/>
    <xf numFmtId="0" fontId="5" fillId="3" borderId="0" xfId="0" applyFont="1" applyFill="1"/>
    <xf numFmtId="0" fontId="5" fillId="0" borderId="0" xfId="0" applyFont="1"/>
    <xf numFmtId="1" fontId="2" fillId="2" borderId="3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and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Forecast!$C$1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Forecast!$C$2:$C$49</c:f>
              <c:numCache>
                <c:formatCode>General</c:formatCode>
                <c:ptCount val="48"/>
                <c:pt idx="0">
                  <c:v>242</c:v>
                </c:pt>
                <c:pt idx="1">
                  <c:v>235</c:v>
                </c:pt>
                <c:pt idx="2">
                  <c:v>232</c:v>
                </c:pt>
                <c:pt idx="3">
                  <c:v>178</c:v>
                </c:pt>
                <c:pt idx="4">
                  <c:v>184</c:v>
                </c:pt>
                <c:pt idx="5">
                  <c:v>140</c:v>
                </c:pt>
                <c:pt idx="6">
                  <c:v>145</c:v>
                </c:pt>
                <c:pt idx="7">
                  <c:v>152</c:v>
                </c:pt>
                <c:pt idx="8">
                  <c:v>110</c:v>
                </c:pt>
                <c:pt idx="9">
                  <c:v>130</c:v>
                </c:pt>
                <c:pt idx="10">
                  <c:v>152</c:v>
                </c:pt>
                <c:pt idx="11">
                  <c:v>206</c:v>
                </c:pt>
                <c:pt idx="12">
                  <c:v>263</c:v>
                </c:pt>
                <c:pt idx="13">
                  <c:v>238</c:v>
                </c:pt>
                <c:pt idx="14">
                  <c:v>247</c:v>
                </c:pt>
                <c:pt idx="15">
                  <c:v>191</c:v>
                </c:pt>
                <c:pt idx="16">
                  <c:v>193</c:v>
                </c:pt>
                <c:pt idx="17">
                  <c:v>149</c:v>
                </c:pt>
                <c:pt idx="18">
                  <c:v>157</c:v>
                </c:pt>
                <c:pt idx="19">
                  <c:v>160</c:v>
                </c:pt>
                <c:pt idx="20">
                  <c:v>122</c:v>
                </c:pt>
                <c:pt idx="21">
                  <c:v>130</c:v>
                </c:pt>
                <c:pt idx="22">
                  <c:v>167</c:v>
                </c:pt>
                <c:pt idx="23">
                  <c:v>230</c:v>
                </c:pt>
                <c:pt idx="24">
                  <c:v>282</c:v>
                </c:pt>
                <c:pt idx="25">
                  <c:v>255</c:v>
                </c:pt>
                <c:pt idx="26">
                  <c:v>245</c:v>
                </c:pt>
                <c:pt idx="27">
                  <c:v>205</c:v>
                </c:pt>
                <c:pt idx="28">
                  <c:v>210</c:v>
                </c:pt>
                <c:pt idx="29">
                  <c:v>160</c:v>
                </c:pt>
                <c:pt idx="30">
                  <c:v>165</c:v>
                </c:pt>
                <c:pt idx="31">
                  <c:v>175</c:v>
                </c:pt>
                <c:pt idx="32">
                  <c:v>126</c:v>
                </c:pt>
                <c:pt idx="33">
                  <c:v>148</c:v>
                </c:pt>
                <c:pt idx="34">
                  <c:v>173</c:v>
                </c:pt>
                <c:pt idx="35">
                  <c:v>235</c:v>
                </c:pt>
                <c:pt idx="36">
                  <c:v>306</c:v>
                </c:pt>
                <c:pt idx="37">
                  <c:v>280</c:v>
                </c:pt>
                <c:pt idx="38">
                  <c:v>270</c:v>
                </c:pt>
                <c:pt idx="39">
                  <c:v>210</c:v>
                </c:pt>
                <c:pt idx="40">
                  <c:v>214</c:v>
                </c:pt>
                <c:pt idx="41">
                  <c:v>175</c:v>
                </c:pt>
                <c:pt idx="42">
                  <c:v>182</c:v>
                </c:pt>
                <c:pt idx="43">
                  <c:v>193</c:v>
                </c:pt>
                <c:pt idx="44">
                  <c:v>130</c:v>
                </c:pt>
                <c:pt idx="45">
                  <c:v>155</c:v>
                </c:pt>
                <c:pt idx="46">
                  <c:v>182</c:v>
                </c:pt>
                <c:pt idx="47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9-4068-B840-7BE501E9D6C9}"/>
            </c:ext>
          </c:extLst>
        </c:ser>
        <c:ser>
          <c:idx val="1"/>
          <c:order val="1"/>
          <c:tx>
            <c:strRef>
              <c:f>Forecast!$E$1</c:f>
              <c:strCache>
                <c:ptCount val="1"/>
                <c:pt idx="0">
                  <c:v>Deasonal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Forecast!$E$2:$E$49</c:f>
              <c:numCache>
                <c:formatCode>0</c:formatCode>
                <c:ptCount val="48"/>
                <c:pt idx="0">
                  <c:v>171.29673681000304</c:v>
                </c:pt>
                <c:pt idx="1">
                  <c:v>180.36871693121694</c:v>
                </c:pt>
                <c:pt idx="2">
                  <c:v>180.57411133467471</c:v>
                </c:pt>
                <c:pt idx="3">
                  <c:v>175.65391156462584</c:v>
                </c:pt>
                <c:pt idx="4">
                  <c:v>177.72118185601332</c:v>
                </c:pt>
                <c:pt idx="5">
                  <c:v>173.57905982905982</c:v>
                </c:pt>
                <c:pt idx="6">
                  <c:v>172.85310734463278</c:v>
                </c:pt>
                <c:pt idx="7">
                  <c:v>172.93725490196078</c:v>
                </c:pt>
                <c:pt idx="8">
                  <c:v>174.39207650273221</c:v>
                </c:pt>
                <c:pt idx="9">
                  <c:v>178.64416814683244</c:v>
                </c:pt>
                <c:pt idx="10">
                  <c:v>174.47675568743819</c:v>
                </c:pt>
                <c:pt idx="11">
                  <c:v>172.11159107271416</c:v>
                </c:pt>
                <c:pt idx="12">
                  <c:v>186.16132967368097</c:v>
                </c:pt>
                <c:pt idx="13">
                  <c:v>182.6712962962963</c:v>
                </c:pt>
                <c:pt idx="14">
                  <c:v>192.24916163648558</c:v>
                </c:pt>
                <c:pt idx="15">
                  <c:v>188.48256802721087</c:v>
                </c:pt>
                <c:pt idx="16">
                  <c:v>186.41406575114442</c:v>
                </c:pt>
                <c:pt idx="17">
                  <c:v>184.73771367521366</c:v>
                </c:pt>
                <c:pt idx="18">
                  <c:v>187.15819209039549</c:v>
                </c:pt>
                <c:pt idx="19">
                  <c:v>182.0392156862745</c:v>
                </c:pt>
                <c:pt idx="20">
                  <c:v>193.41666666666666</c:v>
                </c:pt>
                <c:pt idx="21">
                  <c:v>178.64416814683244</c:v>
                </c:pt>
                <c:pt idx="22">
                  <c:v>191.69485657764588</c:v>
                </c:pt>
                <c:pt idx="23">
                  <c:v>192.16342692584593</c:v>
                </c:pt>
                <c:pt idx="24">
                  <c:v>199.61024702653245</c:v>
                </c:pt>
                <c:pt idx="25">
                  <c:v>195.71924603174602</c:v>
                </c:pt>
                <c:pt idx="26">
                  <c:v>190.69248826291079</c:v>
                </c:pt>
                <c:pt idx="27">
                  <c:v>202.29804421768708</c:v>
                </c:pt>
                <c:pt idx="28">
                  <c:v>202.83395755305867</c:v>
                </c:pt>
                <c:pt idx="29">
                  <c:v>198.37606837606836</c:v>
                </c:pt>
                <c:pt idx="30">
                  <c:v>196.69491525423729</c:v>
                </c:pt>
                <c:pt idx="31">
                  <c:v>199.10539215686273</c:v>
                </c:pt>
                <c:pt idx="32">
                  <c:v>199.75819672131146</c:v>
                </c:pt>
                <c:pt idx="33">
                  <c:v>203.37951450562463</c:v>
                </c:pt>
                <c:pt idx="34">
                  <c:v>198.58209693372896</c:v>
                </c:pt>
                <c:pt idx="35">
                  <c:v>196.34089272858171</c:v>
                </c:pt>
                <c:pt idx="36">
                  <c:v>216.59835315645012</c:v>
                </c:pt>
                <c:pt idx="37">
                  <c:v>214.90740740740739</c:v>
                </c:pt>
                <c:pt idx="38">
                  <c:v>210.15090543259558</c:v>
                </c:pt>
                <c:pt idx="39">
                  <c:v>207.23214285714286</c:v>
                </c:pt>
                <c:pt idx="40">
                  <c:v>206.69746150645028</c:v>
                </c:pt>
                <c:pt idx="41">
                  <c:v>216.97382478632477</c:v>
                </c:pt>
                <c:pt idx="42">
                  <c:v>216.96045197740114</c:v>
                </c:pt>
                <c:pt idx="43">
                  <c:v>219.58480392156861</c:v>
                </c:pt>
                <c:pt idx="44">
                  <c:v>206.09972677595627</c:v>
                </c:pt>
                <c:pt idx="45">
                  <c:v>212.99881586737715</c:v>
                </c:pt>
                <c:pt idx="46">
                  <c:v>208.9129574678536</c:v>
                </c:pt>
                <c:pt idx="47">
                  <c:v>213.05075593952483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D9-4068-B840-7BE501E9D6C9}"/>
            </c:ext>
          </c:extLst>
        </c:ser>
        <c:ser>
          <c:idx val="2"/>
          <c:order val="2"/>
          <c:tx>
            <c:strRef>
              <c:f>Forecast!$F$1</c:f>
              <c:strCache>
                <c:ptCount val="1"/>
                <c:pt idx="0">
                  <c:v>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Forecast!$F$2:$F$61</c:f>
              <c:numCache>
                <c:formatCode>0</c:formatCode>
                <c:ptCount val="60"/>
                <c:pt idx="0">
                  <c:v>170.85</c:v>
                </c:pt>
                <c:pt idx="1">
                  <c:v>171.80999999999997</c:v>
                </c:pt>
                <c:pt idx="2">
                  <c:v>172.76999999999998</c:v>
                </c:pt>
                <c:pt idx="3">
                  <c:v>173.73</c:v>
                </c:pt>
                <c:pt idx="4">
                  <c:v>174.69</c:v>
                </c:pt>
                <c:pt idx="5">
                  <c:v>175.64999999999998</c:v>
                </c:pt>
                <c:pt idx="6">
                  <c:v>176.60999999999999</c:v>
                </c:pt>
                <c:pt idx="7">
                  <c:v>177.57</c:v>
                </c:pt>
                <c:pt idx="8">
                  <c:v>178.52999999999997</c:v>
                </c:pt>
                <c:pt idx="9">
                  <c:v>179.48999999999998</c:v>
                </c:pt>
                <c:pt idx="10">
                  <c:v>180.45</c:v>
                </c:pt>
                <c:pt idx="11">
                  <c:v>181.41</c:v>
                </c:pt>
                <c:pt idx="12">
                  <c:v>182.36999999999998</c:v>
                </c:pt>
                <c:pt idx="13">
                  <c:v>183.32999999999998</c:v>
                </c:pt>
                <c:pt idx="14">
                  <c:v>184.29</c:v>
                </c:pt>
                <c:pt idx="15">
                  <c:v>185.25</c:v>
                </c:pt>
                <c:pt idx="16">
                  <c:v>186.20999999999998</c:v>
                </c:pt>
                <c:pt idx="17">
                  <c:v>187.17</c:v>
                </c:pt>
                <c:pt idx="18">
                  <c:v>188.13</c:v>
                </c:pt>
                <c:pt idx="19">
                  <c:v>189.08999999999997</c:v>
                </c:pt>
                <c:pt idx="20">
                  <c:v>190.04999999999998</c:v>
                </c:pt>
                <c:pt idx="21">
                  <c:v>191.01</c:v>
                </c:pt>
                <c:pt idx="22">
                  <c:v>191.96999999999997</c:v>
                </c:pt>
                <c:pt idx="23">
                  <c:v>192.92999999999998</c:v>
                </c:pt>
                <c:pt idx="24">
                  <c:v>193.89</c:v>
                </c:pt>
                <c:pt idx="25">
                  <c:v>194.85</c:v>
                </c:pt>
                <c:pt idx="26">
                  <c:v>195.80999999999997</c:v>
                </c:pt>
                <c:pt idx="27">
                  <c:v>196.76999999999998</c:v>
                </c:pt>
                <c:pt idx="28">
                  <c:v>197.73</c:v>
                </c:pt>
                <c:pt idx="29">
                  <c:v>198.69</c:v>
                </c:pt>
                <c:pt idx="30">
                  <c:v>199.64999999999998</c:v>
                </c:pt>
                <c:pt idx="31">
                  <c:v>200.60999999999999</c:v>
                </c:pt>
                <c:pt idx="32">
                  <c:v>201.57</c:v>
                </c:pt>
                <c:pt idx="33">
                  <c:v>202.52999999999997</c:v>
                </c:pt>
                <c:pt idx="34">
                  <c:v>203.48999999999998</c:v>
                </c:pt>
                <c:pt idx="35">
                  <c:v>204.45</c:v>
                </c:pt>
                <c:pt idx="36">
                  <c:v>205.40999999999997</c:v>
                </c:pt>
                <c:pt idx="37">
                  <c:v>206.36999999999998</c:v>
                </c:pt>
                <c:pt idx="38">
                  <c:v>207.32999999999998</c:v>
                </c:pt>
                <c:pt idx="39">
                  <c:v>208.29</c:v>
                </c:pt>
                <c:pt idx="40">
                  <c:v>209.25</c:v>
                </c:pt>
                <c:pt idx="41">
                  <c:v>210.20999999999998</c:v>
                </c:pt>
                <c:pt idx="42">
                  <c:v>211.17</c:v>
                </c:pt>
                <c:pt idx="43">
                  <c:v>212.13</c:v>
                </c:pt>
                <c:pt idx="44">
                  <c:v>213.08999999999997</c:v>
                </c:pt>
                <c:pt idx="45">
                  <c:v>214.04999999999998</c:v>
                </c:pt>
                <c:pt idx="46">
                  <c:v>215.01</c:v>
                </c:pt>
                <c:pt idx="47">
                  <c:v>215.96999999999997</c:v>
                </c:pt>
                <c:pt idx="48">
                  <c:v>216.92999999999998</c:v>
                </c:pt>
                <c:pt idx="49">
                  <c:v>217.89</c:v>
                </c:pt>
                <c:pt idx="50">
                  <c:v>218.85</c:v>
                </c:pt>
                <c:pt idx="51">
                  <c:v>219.81</c:v>
                </c:pt>
                <c:pt idx="52">
                  <c:v>220.76999999999998</c:v>
                </c:pt>
                <c:pt idx="53">
                  <c:v>221.73</c:v>
                </c:pt>
                <c:pt idx="54">
                  <c:v>222.69</c:v>
                </c:pt>
                <c:pt idx="55">
                  <c:v>223.64999999999998</c:v>
                </c:pt>
                <c:pt idx="56">
                  <c:v>224.60999999999999</c:v>
                </c:pt>
                <c:pt idx="57">
                  <c:v>225.57</c:v>
                </c:pt>
                <c:pt idx="58">
                  <c:v>226.52999999999997</c:v>
                </c:pt>
                <c:pt idx="59">
                  <c:v>227.48999999999998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D9-4068-B840-7BE501E9D6C9}"/>
            </c:ext>
          </c:extLst>
        </c:ser>
        <c:ser>
          <c:idx val="3"/>
          <c:order val="3"/>
          <c:tx>
            <c:strRef>
              <c:f>Forecast!$G$1</c:f>
              <c:strCache>
                <c:ptCount val="1"/>
                <c:pt idx="0">
                  <c:v>FITS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Forecast!$G$2:$G$61</c:f>
              <c:numCache>
                <c:formatCode>0</c:formatCode>
                <c:ptCount val="60"/>
                <c:pt idx="0">
                  <c:v>241.36887117621717</c:v>
                </c:pt>
                <c:pt idx="1">
                  <c:v>223.84896165445926</c:v>
                </c:pt>
                <c:pt idx="2">
                  <c:v>221.97334769495905</c:v>
                </c:pt>
                <c:pt idx="3">
                  <c:v>176.05039207238258</c:v>
                </c:pt>
                <c:pt idx="4">
                  <c:v>180.86172770357604</c:v>
                </c:pt>
                <c:pt idx="5">
                  <c:v>141.67031451960361</c:v>
                </c:pt>
                <c:pt idx="6">
                  <c:v>148.15151658767772</c:v>
                </c:pt>
                <c:pt idx="7">
                  <c:v>156.0718655751831</c:v>
                </c:pt>
                <c:pt idx="8">
                  <c:v>112.61004739336492</c:v>
                </c:pt>
                <c:pt idx="9">
                  <c:v>130.61551486428263</c:v>
                </c:pt>
                <c:pt idx="10">
                  <c:v>157.20374838431709</c:v>
                </c:pt>
                <c:pt idx="11">
                  <c:v>217.12924601464886</c:v>
                </c:pt>
                <c:pt idx="12">
                  <c:v>257.64378716070661</c:v>
                </c:pt>
                <c:pt idx="13">
                  <c:v>238.85821628608358</c:v>
                </c:pt>
                <c:pt idx="14">
                  <c:v>236.77414045669968</c:v>
                </c:pt>
                <c:pt idx="15">
                  <c:v>187.72425678586816</c:v>
                </c:pt>
                <c:pt idx="16">
                  <c:v>192.78872468763461</c:v>
                </c:pt>
                <c:pt idx="17">
                  <c:v>150.96175786299011</c:v>
                </c:pt>
                <c:pt idx="18">
                  <c:v>157.81521327014218</c:v>
                </c:pt>
                <c:pt idx="19">
                  <c:v>166.19715639810426</c:v>
                </c:pt>
                <c:pt idx="20">
                  <c:v>119.87643257216718</c:v>
                </c:pt>
                <c:pt idx="21">
                  <c:v>138.99866006031883</c:v>
                </c:pt>
                <c:pt idx="22">
                  <c:v>167.23969840585951</c:v>
                </c:pt>
                <c:pt idx="23">
                  <c:v>230.91750969409736</c:v>
                </c:pt>
                <c:pt idx="24">
                  <c:v>273.91870314519605</c:v>
                </c:pt>
                <c:pt idx="25">
                  <c:v>253.86747091770789</c:v>
                </c:pt>
                <c:pt idx="26">
                  <c:v>251.57493321844029</c:v>
                </c:pt>
                <c:pt idx="27">
                  <c:v>199.39812149935372</c:v>
                </c:pt>
                <c:pt idx="28">
                  <c:v>204.71572167169322</c:v>
                </c:pt>
                <c:pt idx="29">
                  <c:v>160.25320120637659</c:v>
                </c:pt>
                <c:pt idx="30">
                  <c:v>167.47890995260661</c:v>
                </c:pt>
                <c:pt idx="31">
                  <c:v>176.32244722102541</c:v>
                </c:pt>
                <c:pt idx="32">
                  <c:v>127.14281775096941</c:v>
                </c:pt>
                <c:pt idx="33">
                  <c:v>147.38180525635499</c:v>
                </c:pt>
                <c:pt idx="34">
                  <c:v>177.27564842740196</c:v>
                </c:pt>
                <c:pt idx="35">
                  <c:v>244.7057733735459</c:v>
                </c:pt>
                <c:pt idx="36">
                  <c:v>290.19361912968549</c:v>
                </c:pt>
                <c:pt idx="37">
                  <c:v>268.87672554933215</c:v>
                </c:pt>
                <c:pt idx="38">
                  <c:v>266.37572598018096</c:v>
                </c:pt>
                <c:pt idx="39">
                  <c:v>211.07198621283931</c:v>
                </c:pt>
                <c:pt idx="40">
                  <c:v>216.64271865575182</c:v>
                </c:pt>
                <c:pt idx="41">
                  <c:v>169.54464454976304</c:v>
                </c:pt>
                <c:pt idx="42">
                  <c:v>177.14260663507108</c:v>
                </c:pt>
                <c:pt idx="43">
                  <c:v>186.44773804394657</c:v>
                </c:pt>
                <c:pt idx="44">
                  <c:v>134.40920292977165</c:v>
                </c:pt>
                <c:pt idx="45">
                  <c:v>155.76495045239119</c:v>
                </c:pt>
                <c:pt idx="46">
                  <c:v>187.31159844894441</c:v>
                </c:pt>
                <c:pt idx="47">
                  <c:v>258.49403705299437</c:v>
                </c:pt>
                <c:pt idx="48">
                  <c:v>306.46853511417493</c:v>
                </c:pt>
                <c:pt idx="49">
                  <c:v>283.88598018095649</c:v>
                </c:pt>
                <c:pt idx="50">
                  <c:v>281.1765187419216</c:v>
                </c:pt>
                <c:pt idx="51">
                  <c:v>222.74585092632486</c:v>
                </c:pt>
                <c:pt idx="52">
                  <c:v>228.5697156398104</c:v>
                </c:pt>
                <c:pt idx="53">
                  <c:v>178.83608789314951</c:v>
                </c:pt>
                <c:pt idx="54">
                  <c:v>186.80630331753554</c:v>
                </c:pt>
                <c:pt idx="55">
                  <c:v>196.57302886686773</c:v>
                </c:pt>
                <c:pt idx="56">
                  <c:v>141.67558810857389</c:v>
                </c:pt>
                <c:pt idx="57">
                  <c:v>164.14809564842739</c:v>
                </c:pt>
                <c:pt idx="58">
                  <c:v>197.34754847048683</c:v>
                </c:pt>
                <c:pt idx="59">
                  <c:v>272.28230073244293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D9-4068-B840-7BE501E9D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8965984"/>
        <c:axId val="908967904"/>
      </c:lineChart>
      <c:catAx>
        <c:axId val="908965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Periods (Months)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67904"/>
        <c:crosses val="autoZero"/>
        <c:auto val="1"/>
        <c:lblAlgn val="ctr"/>
        <c:lblOffset val="100"/>
        <c:noMultiLvlLbl val="0"/>
      </c:catAx>
      <c:valAx>
        <c:axId val="90896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  <a:r>
                  <a:rPr lang="en-US" baseline="0"/>
                  <a:t> (In Thousands)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96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619125</xdr:colOff>
      <xdr:row>1</xdr:row>
      <xdr:rowOff>14287</xdr:rowOff>
    </xdr:from>
    <xdr:to>
      <xdr:col>18</xdr:col>
      <xdr:colOff>495300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A129E-76D3-4793-4F89-7C837A570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FD2B-9DC1-4EAD-B503-2482146661EA}">
  <dimension ref="A1:K16"/>
  <sheetViews>
    <sheetView tabSelected="1" workbookViewId="0">
      <selection activeCell="D29" sqref="D29"/>
    </sheetView>
  </sheetViews>
  <sheetFormatPr defaultRowHeight="15" x14ac:dyDescent="0.25"/>
  <cols>
    <col min="1" max="5" width="15.7109375" customWidth="1"/>
    <col min="6" max="6" width="27" customWidth="1"/>
    <col min="7" max="7" width="14.5703125" customWidth="1"/>
    <col min="8" max="8" width="13" customWidth="1"/>
  </cols>
  <sheetData>
    <row r="1" spans="1:11" ht="30" x14ac:dyDescent="0.25">
      <c r="A1" s="11" t="s">
        <v>0</v>
      </c>
      <c r="B1" s="12" t="s">
        <v>54</v>
      </c>
      <c r="C1" s="12" t="s">
        <v>55</v>
      </c>
      <c r="D1" s="12" t="s">
        <v>56</v>
      </c>
      <c r="E1" s="12" t="s">
        <v>57</v>
      </c>
      <c r="F1" s="13" t="s">
        <v>58</v>
      </c>
      <c r="G1" s="12" t="s">
        <v>13</v>
      </c>
      <c r="H1" s="12" t="s">
        <v>15</v>
      </c>
    </row>
    <row r="2" spans="1:11" x14ac:dyDescent="0.25">
      <c r="A2" s="7" t="s">
        <v>1</v>
      </c>
      <c r="B2" s="15">
        <v>242</v>
      </c>
      <c r="C2" s="15">
        <v>263</v>
      </c>
      <c r="D2" s="15">
        <v>282</v>
      </c>
      <c r="E2" s="15">
        <v>306</v>
      </c>
      <c r="F2" s="16">
        <f>AVERAGE(B2,C2,D2,E2)</f>
        <v>273.25</v>
      </c>
      <c r="G2" s="17">
        <f>F2/$F$16</f>
        <v>1.4127531236535977</v>
      </c>
      <c r="H2" s="18" t="str">
        <f>IF(G2&gt;1, "Busy","Slow")</f>
        <v>Busy</v>
      </c>
    </row>
    <row r="3" spans="1:11" x14ac:dyDescent="0.25">
      <c r="A3" s="7" t="s">
        <v>2</v>
      </c>
      <c r="B3" s="15">
        <v>235</v>
      </c>
      <c r="C3" s="15">
        <v>238</v>
      </c>
      <c r="D3" s="15">
        <v>255</v>
      </c>
      <c r="E3" s="15">
        <v>280</v>
      </c>
      <c r="F3" s="16">
        <f t="shared" ref="F3:F13" si="0">AVERAGE(B3,C3,D3,E3)</f>
        <v>252</v>
      </c>
      <c r="G3" s="17">
        <f t="shared" ref="G3:G13" si="1">F3/$F$16</f>
        <v>1.3028866867729427</v>
      </c>
      <c r="H3" s="18" t="str">
        <f t="shared" ref="H3:H13" si="2">IF(G3&gt;1, "Busy","Slow")</f>
        <v>Busy</v>
      </c>
    </row>
    <row r="4" spans="1:11" x14ac:dyDescent="0.25">
      <c r="A4" s="7" t="s">
        <v>3</v>
      </c>
      <c r="B4" s="15">
        <v>232</v>
      </c>
      <c r="C4" s="15">
        <v>247</v>
      </c>
      <c r="D4" s="15">
        <v>245</v>
      </c>
      <c r="E4" s="15">
        <v>270</v>
      </c>
      <c r="F4" s="16">
        <f t="shared" si="0"/>
        <v>248.5</v>
      </c>
      <c r="G4" s="17">
        <f t="shared" si="1"/>
        <v>1.2847910383455408</v>
      </c>
      <c r="H4" s="18" t="str">
        <f t="shared" si="2"/>
        <v>Busy</v>
      </c>
    </row>
    <row r="5" spans="1:11" x14ac:dyDescent="0.25">
      <c r="A5" s="7" t="s">
        <v>4</v>
      </c>
      <c r="B5" s="15">
        <v>178</v>
      </c>
      <c r="C5" s="15">
        <v>191</v>
      </c>
      <c r="D5" s="15">
        <v>205</v>
      </c>
      <c r="E5" s="15">
        <v>210</v>
      </c>
      <c r="F5" s="16">
        <f t="shared" si="0"/>
        <v>196</v>
      </c>
      <c r="G5" s="17">
        <f t="shared" si="1"/>
        <v>1.013356311934511</v>
      </c>
      <c r="H5" s="18" t="str">
        <f t="shared" si="2"/>
        <v>Busy</v>
      </c>
    </row>
    <row r="6" spans="1:11" x14ac:dyDescent="0.25">
      <c r="A6" s="7" t="s">
        <v>5</v>
      </c>
      <c r="B6" s="15">
        <v>184</v>
      </c>
      <c r="C6" s="15">
        <v>193</v>
      </c>
      <c r="D6" s="15">
        <v>210</v>
      </c>
      <c r="E6" s="15">
        <v>214</v>
      </c>
      <c r="F6" s="16">
        <f t="shared" si="0"/>
        <v>200.25</v>
      </c>
      <c r="G6" s="17">
        <f t="shared" si="1"/>
        <v>1.0353295993106419</v>
      </c>
      <c r="H6" s="18" t="str">
        <f t="shared" si="2"/>
        <v>Busy</v>
      </c>
      <c r="K6" s="1"/>
    </row>
    <row r="7" spans="1:11" x14ac:dyDescent="0.25">
      <c r="A7" s="7" t="s">
        <v>6</v>
      </c>
      <c r="B7" s="15">
        <v>140</v>
      </c>
      <c r="C7" s="15">
        <v>149</v>
      </c>
      <c r="D7" s="15">
        <v>160</v>
      </c>
      <c r="E7" s="15">
        <v>175</v>
      </c>
      <c r="F7" s="16">
        <f t="shared" si="0"/>
        <v>156</v>
      </c>
      <c r="G7" s="17">
        <f t="shared" si="1"/>
        <v>0.80654890133563129</v>
      </c>
      <c r="H7" s="18" t="str">
        <f t="shared" si="2"/>
        <v>Slow</v>
      </c>
    </row>
    <row r="8" spans="1:11" x14ac:dyDescent="0.25">
      <c r="A8" s="7" t="s">
        <v>7</v>
      </c>
      <c r="B8" s="15">
        <v>145</v>
      </c>
      <c r="C8" s="15">
        <v>157</v>
      </c>
      <c r="D8" s="15">
        <v>165</v>
      </c>
      <c r="E8" s="15">
        <v>182</v>
      </c>
      <c r="F8" s="16">
        <f t="shared" si="0"/>
        <v>162.25</v>
      </c>
      <c r="G8" s="17">
        <f t="shared" si="1"/>
        <v>0.83886255924170616</v>
      </c>
      <c r="H8" s="18" t="str">
        <f t="shared" si="2"/>
        <v>Slow</v>
      </c>
    </row>
    <row r="9" spans="1:11" x14ac:dyDescent="0.25">
      <c r="A9" s="7" t="s">
        <v>8</v>
      </c>
      <c r="B9" s="15">
        <v>152</v>
      </c>
      <c r="C9" s="15">
        <v>160</v>
      </c>
      <c r="D9" s="15">
        <v>175</v>
      </c>
      <c r="E9" s="15">
        <v>193</v>
      </c>
      <c r="F9" s="16">
        <f t="shared" si="0"/>
        <v>170</v>
      </c>
      <c r="G9" s="17">
        <f t="shared" si="1"/>
        <v>0.87893149504523915</v>
      </c>
      <c r="H9" s="18" t="str">
        <f t="shared" si="2"/>
        <v>Slow</v>
      </c>
    </row>
    <row r="10" spans="1:11" x14ac:dyDescent="0.25">
      <c r="A10" s="7" t="s">
        <v>9</v>
      </c>
      <c r="B10" s="15">
        <v>110</v>
      </c>
      <c r="C10" s="15">
        <v>122</v>
      </c>
      <c r="D10" s="15">
        <v>126</v>
      </c>
      <c r="E10" s="15">
        <v>130</v>
      </c>
      <c r="F10" s="16">
        <f t="shared" si="0"/>
        <v>122</v>
      </c>
      <c r="G10" s="17">
        <f t="shared" si="1"/>
        <v>0.63076260232658343</v>
      </c>
      <c r="H10" s="18" t="str">
        <f t="shared" si="2"/>
        <v>Slow</v>
      </c>
    </row>
    <row r="11" spans="1:11" x14ac:dyDescent="0.25">
      <c r="A11" s="7" t="s">
        <v>10</v>
      </c>
      <c r="B11" s="15">
        <v>130</v>
      </c>
      <c r="C11" s="15">
        <v>130</v>
      </c>
      <c r="D11" s="15">
        <v>148</v>
      </c>
      <c r="E11" s="15">
        <v>155</v>
      </c>
      <c r="F11" s="16">
        <f t="shared" si="0"/>
        <v>140.75</v>
      </c>
      <c r="G11" s="17">
        <f t="shared" si="1"/>
        <v>0.72770357604480829</v>
      </c>
      <c r="H11" s="18" t="str">
        <f t="shared" si="2"/>
        <v>Slow</v>
      </c>
    </row>
    <row r="12" spans="1:11" x14ac:dyDescent="0.25">
      <c r="A12" s="7" t="s">
        <v>11</v>
      </c>
      <c r="B12" s="15">
        <v>152</v>
      </c>
      <c r="C12" s="15">
        <v>167</v>
      </c>
      <c r="D12" s="15">
        <v>173</v>
      </c>
      <c r="E12" s="15">
        <v>182</v>
      </c>
      <c r="F12" s="16">
        <f t="shared" si="0"/>
        <v>168.5</v>
      </c>
      <c r="G12" s="17">
        <f t="shared" si="1"/>
        <v>0.87117621714778115</v>
      </c>
      <c r="H12" s="18" t="str">
        <f t="shared" si="2"/>
        <v>Slow</v>
      </c>
    </row>
    <row r="13" spans="1:11" x14ac:dyDescent="0.25">
      <c r="A13" s="7" t="s">
        <v>12</v>
      </c>
      <c r="B13" s="15">
        <v>206</v>
      </c>
      <c r="C13" s="15">
        <v>230</v>
      </c>
      <c r="D13" s="15">
        <v>235</v>
      </c>
      <c r="E13" s="15">
        <v>255</v>
      </c>
      <c r="F13" s="16">
        <f t="shared" si="0"/>
        <v>231.5</v>
      </c>
      <c r="G13" s="17">
        <f t="shared" si="1"/>
        <v>1.1968978888410169</v>
      </c>
      <c r="H13" s="18" t="str">
        <f t="shared" si="2"/>
        <v>Busy</v>
      </c>
    </row>
    <row r="14" spans="1:11" x14ac:dyDescent="0.25">
      <c r="F14" s="10" t="s">
        <v>59</v>
      </c>
    </row>
    <row r="15" spans="1:11" x14ac:dyDescent="0.25">
      <c r="F15" s="2"/>
    </row>
    <row r="16" spans="1:11" x14ac:dyDescent="0.25">
      <c r="E16" s="14" t="s">
        <v>14</v>
      </c>
      <c r="F16" s="8">
        <f>AVERAGE(F2:F13)</f>
        <v>193.41666666666666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9765-B7BF-46ED-AEA0-333B72E0C789}">
  <dimension ref="A1:S65"/>
  <sheetViews>
    <sheetView topLeftCell="A44" zoomScaleNormal="100" workbookViewId="0">
      <selection activeCell="K70" sqref="K70"/>
    </sheetView>
  </sheetViews>
  <sheetFormatPr defaultRowHeight="15" x14ac:dyDescent="0.25"/>
  <cols>
    <col min="9" max="9" width="10.85546875" customWidth="1"/>
    <col min="11" max="11" width="19.5703125" customWidth="1"/>
    <col min="12" max="12" width="15" customWidth="1"/>
    <col min="13" max="13" width="14.5703125" customWidth="1"/>
    <col min="14" max="14" width="9.28515625" bestFit="1" customWidth="1"/>
    <col min="15" max="15" width="12" bestFit="1" customWidth="1"/>
    <col min="16" max="16" width="14.5703125" customWidth="1"/>
    <col min="17" max="17" width="11.28515625" customWidth="1"/>
    <col min="18" max="18" width="11.7109375" customWidth="1"/>
    <col min="19" max="19" width="11.42578125" customWidth="1"/>
  </cols>
  <sheetData>
    <row r="1" spans="1:12" x14ac:dyDescent="0.25">
      <c r="A1" s="6" t="s">
        <v>17</v>
      </c>
      <c r="B1" s="6" t="s">
        <v>16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48</v>
      </c>
      <c r="H1" s="6" t="s">
        <v>49</v>
      </c>
      <c r="I1" s="6" t="s">
        <v>50</v>
      </c>
    </row>
    <row r="2" spans="1:12" x14ac:dyDescent="0.25">
      <c r="A2" s="28">
        <v>2020</v>
      </c>
      <c r="B2" s="18">
        <v>1</v>
      </c>
      <c r="C2" s="15">
        <v>242</v>
      </c>
      <c r="D2" s="17">
        <v>1.4127531236535977</v>
      </c>
      <c r="E2" s="16">
        <f>C2/D2</f>
        <v>171.29673681000304</v>
      </c>
      <c r="F2" s="16">
        <f>169.89 +0.96*B2</f>
        <v>170.85</v>
      </c>
      <c r="G2" s="16">
        <f>D2*F2</f>
        <v>241.36887117621717</v>
      </c>
      <c r="H2" s="17">
        <f>ABS(C2-G2)</f>
        <v>0.63112882378283075</v>
      </c>
      <c r="I2" s="17">
        <f>H2^2</f>
        <v>0.39832359220949942</v>
      </c>
    </row>
    <row r="3" spans="1:12" x14ac:dyDescent="0.25">
      <c r="A3" s="28"/>
      <c r="B3" s="18">
        <v>2</v>
      </c>
      <c r="C3" s="15">
        <v>235</v>
      </c>
      <c r="D3" s="17">
        <v>1.3028866867729427</v>
      </c>
      <c r="E3" s="16">
        <f t="shared" ref="E3:E49" si="0">C3/D3</f>
        <v>180.36871693121694</v>
      </c>
      <c r="F3" s="16">
        <f t="shared" ref="F3:F61" si="1">169.89 +0.96*B3</f>
        <v>171.80999999999997</v>
      </c>
      <c r="G3" s="16">
        <f t="shared" ref="G3:G61" si="2">D3*F3</f>
        <v>223.84896165445926</v>
      </c>
      <c r="H3" s="17">
        <f t="shared" ref="H3:H49" si="3">ABS(C3-G3)</f>
        <v>11.151038345540741</v>
      </c>
      <c r="I3" s="17">
        <f t="shared" ref="I3:I49" si="4">H3^2</f>
        <v>124.34565618371998</v>
      </c>
      <c r="K3" s="24" t="s">
        <v>51</v>
      </c>
      <c r="L3" s="8">
        <f>AVERAGE(H2:H49)</f>
        <v>4.3357326224328583</v>
      </c>
    </row>
    <row r="4" spans="1:12" x14ac:dyDescent="0.25">
      <c r="A4" s="28"/>
      <c r="B4" s="18">
        <v>3</v>
      </c>
      <c r="C4" s="15">
        <v>232</v>
      </c>
      <c r="D4" s="17">
        <v>1.2847910383455408</v>
      </c>
      <c r="E4" s="16">
        <f t="shared" si="0"/>
        <v>180.57411133467471</v>
      </c>
      <c r="F4" s="16">
        <f t="shared" si="1"/>
        <v>172.76999999999998</v>
      </c>
      <c r="G4" s="16">
        <f t="shared" si="2"/>
        <v>221.97334769495905</v>
      </c>
      <c r="H4" s="17">
        <f t="shared" si="3"/>
        <v>10.026652305040955</v>
      </c>
      <c r="I4" s="17">
        <f t="shared" si="4"/>
        <v>100.53375644618309</v>
      </c>
      <c r="K4" s="24" t="s">
        <v>52</v>
      </c>
      <c r="L4" s="8">
        <f>AVERAGE(I2:I49)</f>
        <v>32.151194016900938</v>
      </c>
    </row>
    <row r="5" spans="1:12" x14ac:dyDescent="0.25">
      <c r="A5" s="28"/>
      <c r="B5" s="18">
        <v>4</v>
      </c>
      <c r="C5" s="15">
        <v>178</v>
      </c>
      <c r="D5" s="17">
        <v>1.013356311934511</v>
      </c>
      <c r="E5" s="16">
        <f t="shared" si="0"/>
        <v>175.65391156462584</v>
      </c>
      <c r="F5" s="16">
        <f t="shared" si="1"/>
        <v>173.73</v>
      </c>
      <c r="G5" s="16">
        <f t="shared" si="2"/>
        <v>176.05039207238258</v>
      </c>
      <c r="H5" s="17">
        <f t="shared" si="3"/>
        <v>1.9496079276174214</v>
      </c>
      <c r="I5" s="17">
        <f t="shared" si="4"/>
        <v>3.8009710714286968</v>
      </c>
      <c r="K5" s="24" t="s">
        <v>53</v>
      </c>
      <c r="L5" s="9">
        <f>L3/AVERAGE(C2:C49)</f>
        <v>2.2416540917360752E-2</v>
      </c>
    </row>
    <row r="6" spans="1:12" x14ac:dyDescent="0.25">
      <c r="A6" s="28"/>
      <c r="B6" s="18">
        <v>5</v>
      </c>
      <c r="C6" s="15">
        <v>184</v>
      </c>
      <c r="D6" s="17">
        <v>1.0353295993106419</v>
      </c>
      <c r="E6" s="16">
        <f t="shared" si="0"/>
        <v>177.72118185601332</v>
      </c>
      <c r="F6" s="16">
        <f t="shared" si="1"/>
        <v>174.69</v>
      </c>
      <c r="G6" s="16">
        <f t="shared" si="2"/>
        <v>180.86172770357604</v>
      </c>
      <c r="H6" s="17">
        <f t="shared" si="3"/>
        <v>3.1382722964239633</v>
      </c>
      <c r="I6" s="17">
        <f t="shared" si="4"/>
        <v>9.848753006502136</v>
      </c>
    </row>
    <row r="7" spans="1:12" x14ac:dyDescent="0.25">
      <c r="A7" s="28"/>
      <c r="B7" s="18">
        <v>6</v>
      </c>
      <c r="C7" s="15">
        <v>140</v>
      </c>
      <c r="D7" s="17">
        <v>0.80654890133563129</v>
      </c>
      <c r="E7" s="16">
        <f t="shared" si="0"/>
        <v>173.57905982905982</v>
      </c>
      <c r="F7" s="16">
        <f t="shared" si="1"/>
        <v>175.64999999999998</v>
      </c>
      <c r="G7" s="16">
        <f t="shared" si="2"/>
        <v>141.67031451960361</v>
      </c>
      <c r="H7" s="17">
        <f t="shared" si="3"/>
        <v>1.6703145196036076</v>
      </c>
      <c r="I7" s="17">
        <f t="shared" si="4"/>
        <v>2.7899505943986305</v>
      </c>
      <c r="K7" s="25" t="s">
        <v>62</v>
      </c>
    </row>
    <row r="8" spans="1:12" x14ac:dyDescent="0.25">
      <c r="A8" s="28"/>
      <c r="B8" s="18">
        <v>7</v>
      </c>
      <c r="C8" s="15">
        <v>145</v>
      </c>
      <c r="D8" s="17">
        <v>0.83886255924170616</v>
      </c>
      <c r="E8" s="16">
        <f t="shared" si="0"/>
        <v>172.85310734463278</v>
      </c>
      <c r="F8" s="16">
        <f t="shared" si="1"/>
        <v>176.60999999999999</v>
      </c>
      <c r="G8" s="16">
        <f t="shared" si="2"/>
        <v>148.15151658767772</v>
      </c>
      <c r="H8" s="17">
        <f t="shared" si="3"/>
        <v>3.1515165876777189</v>
      </c>
      <c r="I8" s="17">
        <f t="shared" si="4"/>
        <v>9.9320568024078142</v>
      </c>
    </row>
    <row r="9" spans="1:12" x14ac:dyDescent="0.25">
      <c r="A9" s="28"/>
      <c r="B9" s="18">
        <v>8</v>
      </c>
      <c r="C9" s="15">
        <v>152</v>
      </c>
      <c r="D9" s="17">
        <v>0.87893149504523915</v>
      </c>
      <c r="E9" s="16">
        <f t="shared" si="0"/>
        <v>172.93725490196078</v>
      </c>
      <c r="F9" s="16">
        <f t="shared" si="1"/>
        <v>177.57</v>
      </c>
      <c r="G9" s="16">
        <f t="shared" si="2"/>
        <v>156.0718655751831</v>
      </c>
      <c r="H9" s="17">
        <f t="shared" si="3"/>
        <v>4.0718655751830966</v>
      </c>
      <c r="I9" s="17">
        <f t="shared" si="4"/>
        <v>16.58008926236117</v>
      </c>
    </row>
    <row r="10" spans="1:12" x14ac:dyDescent="0.25">
      <c r="A10" s="28"/>
      <c r="B10" s="18">
        <v>9</v>
      </c>
      <c r="C10" s="15">
        <v>110</v>
      </c>
      <c r="D10" s="17">
        <v>0.63076260232658343</v>
      </c>
      <c r="E10" s="16">
        <f t="shared" si="0"/>
        <v>174.39207650273221</v>
      </c>
      <c r="F10" s="16">
        <f t="shared" si="1"/>
        <v>178.52999999999997</v>
      </c>
      <c r="G10" s="16">
        <f t="shared" si="2"/>
        <v>112.61004739336492</v>
      </c>
      <c r="H10" s="17">
        <f t="shared" si="3"/>
        <v>2.6100473933649226</v>
      </c>
      <c r="I10" s="17">
        <f t="shared" si="4"/>
        <v>6.8123473956110274</v>
      </c>
    </row>
    <row r="11" spans="1:12" x14ac:dyDescent="0.25">
      <c r="A11" s="28"/>
      <c r="B11" s="18">
        <v>10</v>
      </c>
      <c r="C11" s="15">
        <v>130</v>
      </c>
      <c r="D11" s="17">
        <v>0.72770357604480829</v>
      </c>
      <c r="E11" s="16">
        <f t="shared" si="0"/>
        <v>178.64416814683244</v>
      </c>
      <c r="F11" s="16">
        <f t="shared" si="1"/>
        <v>179.48999999999998</v>
      </c>
      <c r="G11" s="16">
        <f t="shared" si="2"/>
        <v>130.61551486428263</v>
      </c>
      <c r="H11" s="17">
        <f t="shared" si="3"/>
        <v>0.61551486428263047</v>
      </c>
      <c r="I11" s="17">
        <f t="shared" si="4"/>
        <v>0.37885854815286502</v>
      </c>
    </row>
    <row r="12" spans="1:12" x14ac:dyDescent="0.25">
      <c r="A12" s="28"/>
      <c r="B12" s="18">
        <v>11</v>
      </c>
      <c r="C12" s="15">
        <v>152</v>
      </c>
      <c r="D12" s="17">
        <v>0.87117621714778115</v>
      </c>
      <c r="E12" s="16">
        <f t="shared" si="0"/>
        <v>174.47675568743819</v>
      </c>
      <c r="F12" s="16">
        <f t="shared" si="1"/>
        <v>180.45</v>
      </c>
      <c r="G12" s="16">
        <f t="shared" si="2"/>
        <v>157.20374838431709</v>
      </c>
      <c r="H12" s="17">
        <f t="shared" si="3"/>
        <v>5.2037483843170946</v>
      </c>
      <c r="I12" s="17">
        <f t="shared" si="4"/>
        <v>27.078997247282771</v>
      </c>
    </row>
    <row r="13" spans="1:12" x14ac:dyDescent="0.25">
      <c r="A13" s="28"/>
      <c r="B13" s="18">
        <v>12</v>
      </c>
      <c r="C13" s="15">
        <v>206</v>
      </c>
      <c r="D13" s="17">
        <v>1.1968978888410169</v>
      </c>
      <c r="E13" s="16">
        <f t="shared" si="0"/>
        <v>172.11159107271416</v>
      </c>
      <c r="F13" s="16">
        <f t="shared" si="1"/>
        <v>181.41</v>
      </c>
      <c r="G13" s="16">
        <f t="shared" si="2"/>
        <v>217.12924601464886</v>
      </c>
      <c r="H13" s="17">
        <f t="shared" si="3"/>
        <v>11.129246014648857</v>
      </c>
      <c r="I13" s="17">
        <f t="shared" si="4"/>
        <v>123.86011685457746</v>
      </c>
    </row>
    <row r="14" spans="1:12" x14ac:dyDescent="0.25">
      <c r="A14" s="28">
        <v>2021</v>
      </c>
      <c r="B14" s="18">
        <v>13</v>
      </c>
      <c r="C14" s="15">
        <v>263</v>
      </c>
      <c r="D14" s="17">
        <v>1.4127531236535977</v>
      </c>
      <c r="E14" s="16">
        <f t="shared" si="0"/>
        <v>186.16132967368097</v>
      </c>
      <c r="F14" s="16">
        <f t="shared" si="1"/>
        <v>182.36999999999998</v>
      </c>
      <c r="G14" s="16">
        <f t="shared" si="2"/>
        <v>257.64378716070661</v>
      </c>
      <c r="H14" s="17">
        <f t="shared" si="3"/>
        <v>5.3562128392933914</v>
      </c>
      <c r="I14" s="17">
        <f t="shared" si="4"/>
        <v>28.689015979811373</v>
      </c>
    </row>
    <row r="15" spans="1:12" x14ac:dyDescent="0.25">
      <c r="A15" s="28"/>
      <c r="B15" s="18">
        <v>14</v>
      </c>
      <c r="C15" s="15">
        <v>238</v>
      </c>
      <c r="D15" s="17">
        <v>1.3028866867729427</v>
      </c>
      <c r="E15" s="16">
        <f t="shared" si="0"/>
        <v>182.6712962962963</v>
      </c>
      <c r="F15" s="16">
        <f t="shared" si="1"/>
        <v>183.32999999999998</v>
      </c>
      <c r="G15" s="16">
        <f t="shared" si="2"/>
        <v>238.85821628608358</v>
      </c>
      <c r="H15" s="17">
        <f t="shared" si="3"/>
        <v>0.85821628608357514</v>
      </c>
      <c r="I15" s="17">
        <f t="shared" si="4"/>
        <v>0.73653519369908493</v>
      </c>
    </row>
    <row r="16" spans="1:12" x14ac:dyDescent="0.25">
      <c r="A16" s="28"/>
      <c r="B16" s="18">
        <v>15</v>
      </c>
      <c r="C16" s="15">
        <v>247</v>
      </c>
      <c r="D16" s="17">
        <v>1.2847910383455408</v>
      </c>
      <c r="E16" s="16">
        <f t="shared" si="0"/>
        <v>192.24916163648558</v>
      </c>
      <c r="F16" s="16">
        <f t="shared" si="1"/>
        <v>184.29</v>
      </c>
      <c r="G16" s="16">
        <f t="shared" si="2"/>
        <v>236.77414045669968</v>
      </c>
      <c r="H16" s="17">
        <f t="shared" si="3"/>
        <v>10.225859543300317</v>
      </c>
      <c r="I16" s="17">
        <f t="shared" si="4"/>
        <v>104.56820339930616</v>
      </c>
    </row>
    <row r="17" spans="1:19" x14ac:dyDescent="0.25">
      <c r="A17" s="28"/>
      <c r="B17" s="18">
        <v>16</v>
      </c>
      <c r="C17" s="15">
        <v>191</v>
      </c>
      <c r="D17" s="17">
        <v>1.013356311934511</v>
      </c>
      <c r="E17" s="16">
        <f t="shared" si="0"/>
        <v>188.48256802721087</v>
      </c>
      <c r="F17" s="16">
        <f t="shared" si="1"/>
        <v>185.25</v>
      </c>
      <c r="G17" s="16">
        <f t="shared" si="2"/>
        <v>187.72425678586816</v>
      </c>
      <c r="H17" s="17">
        <f t="shared" si="3"/>
        <v>3.2757432141318361</v>
      </c>
      <c r="I17" s="17">
        <f t="shared" si="4"/>
        <v>10.730493604930773</v>
      </c>
      <c r="O17" s="26" t="s">
        <v>63</v>
      </c>
    </row>
    <row r="18" spans="1:19" x14ac:dyDescent="0.25">
      <c r="A18" s="28"/>
      <c r="B18" s="18">
        <v>17</v>
      </c>
      <c r="C18" s="15">
        <v>193</v>
      </c>
      <c r="D18" s="17">
        <v>1.0353295993106419</v>
      </c>
      <c r="E18" s="16">
        <f t="shared" si="0"/>
        <v>186.41406575114442</v>
      </c>
      <c r="F18" s="16">
        <f t="shared" si="1"/>
        <v>186.20999999999998</v>
      </c>
      <c r="G18" s="16">
        <f t="shared" si="2"/>
        <v>192.78872468763461</v>
      </c>
      <c r="H18" s="17">
        <f t="shared" si="3"/>
        <v>0.21127531236538744</v>
      </c>
      <c r="I18" s="17">
        <f t="shared" si="4"/>
        <v>4.4637257615092032E-2</v>
      </c>
      <c r="K18" s="1" t="s">
        <v>22</v>
      </c>
      <c r="L18" s="1"/>
      <c r="M18" s="1"/>
      <c r="N18" s="1"/>
      <c r="O18" s="1"/>
      <c r="P18" s="1"/>
      <c r="Q18" s="1"/>
      <c r="R18" s="1"/>
      <c r="S18" s="1"/>
    </row>
    <row r="19" spans="1:19" ht="15.75" thickBot="1" x14ac:dyDescent="0.3">
      <c r="A19" s="28"/>
      <c r="B19" s="18">
        <v>18</v>
      </c>
      <c r="C19" s="15">
        <v>149</v>
      </c>
      <c r="D19" s="17">
        <v>0.80654890133563129</v>
      </c>
      <c r="E19" s="16">
        <f t="shared" si="0"/>
        <v>184.73771367521366</v>
      </c>
      <c r="F19" s="16">
        <f t="shared" si="1"/>
        <v>187.17</v>
      </c>
      <c r="G19" s="16">
        <f t="shared" si="2"/>
        <v>150.96175786299011</v>
      </c>
      <c r="H19" s="17">
        <f t="shared" si="3"/>
        <v>1.9617578629901118</v>
      </c>
      <c r="I19" s="17">
        <f t="shared" si="4"/>
        <v>3.8484939130035301</v>
      </c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28"/>
      <c r="B20" s="18">
        <v>19</v>
      </c>
      <c r="C20" s="15">
        <v>157</v>
      </c>
      <c r="D20" s="17">
        <v>0.83886255924170616</v>
      </c>
      <c r="E20" s="16">
        <f t="shared" si="0"/>
        <v>187.15819209039549</v>
      </c>
      <c r="F20" s="16">
        <f t="shared" si="1"/>
        <v>188.13</v>
      </c>
      <c r="G20" s="16">
        <f t="shared" si="2"/>
        <v>157.81521327014218</v>
      </c>
      <c r="H20" s="17">
        <f t="shared" si="3"/>
        <v>0.81521327014218059</v>
      </c>
      <c r="I20" s="17">
        <f t="shared" si="4"/>
        <v>0.66457267581590795</v>
      </c>
      <c r="K20" s="3" t="s">
        <v>23</v>
      </c>
      <c r="L20" s="3"/>
      <c r="M20" s="1"/>
      <c r="N20" s="1"/>
      <c r="O20" s="1"/>
      <c r="P20" s="1"/>
      <c r="Q20" s="1"/>
      <c r="R20" s="1"/>
      <c r="S20" s="1"/>
    </row>
    <row r="21" spans="1:19" x14ac:dyDescent="0.25">
      <c r="A21" s="28"/>
      <c r="B21" s="18">
        <v>20</v>
      </c>
      <c r="C21" s="15">
        <v>160</v>
      </c>
      <c r="D21" s="17">
        <v>0.87893149504523915</v>
      </c>
      <c r="E21" s="16">
        <f t="shared" si="0"/>
        <v>182.0392156862745</v>
      </c>
      <c r="F21" s="16">
        <f t="shared" si="1"/>
        <v>189.08999999999997</v>
      </c>
      <c r="G21" s="16">
        <f t="shared" si="2"/>
        <v>166.19715639810426</v>
      </c>
      <c r="H21" s="17">
        <f t="shared" si="3"/>
        <v>6.197156398104255</v>
      </c>
      <c r="I21" s="17">
        <f t="shared" si="4"/>
        <v>38.404747422564505</v>
      </c>
      <c r="K21" s="1" t="s">
        <v>24</v>
      </c>
      <c r="L21" s="1">
        <v>0.9311424243433023</v>
      </c>
      <c r="M21" s="1"/>
      <c r="N21" s="1"/>
      <c r="O21" s="1"/>
      <c r="P21" s="1"/>
      <c r="Q21" s="1"/>
      <c r="R21" s="1"/>
      <c r="S21" s="1"/>
    </row>
    <row r="22" spans="1:19" x14ac:dyDescent="0.25">
      <c r="A22" s="28"/>
      <c r="B22" s="18">
        <v>21</v>
      </c>
      <c r="C22" s="15">
        <v>122</v>
      </c>
      <c r="D22" s="17">
        <v>0.63076260232658343</v>
      </c>
      <c r="E22" s="16">
        <f t="shared" si="0"/>
        <v>193.41666666666666</v>
      </c>
      <c r="F22" s="16">
        <f t="shared" si="1"/>
        <v>190.04999999999998</v>
      </c>
      <c r="G22" s="16">
        <f t="shared" si="2"/>
        <v>119.87643257216718</v>
      </c>
      <c r="H22" s="17">
        <f t="shared" si="3"/>
        <v>2.1235674278328247</v>
      </c>
      <c r="I22" s="17">
        <f t="shared" si="4"/>
        <v>4.5095386205525188</v>
      </c>
      <c r="K22" s="1" t="s">
        <v>25</v>
      </c>
      <c r="L22" s="1">
        <v>0.8670262144119224</v>
      </c>
      <c r="M22" s="1"/>
      <c r="N22" s="1"/>
      <c r="O22" s="1"/>
      <c r="P22" s="1"/>
      <c r="Q22" s="1"/>
      <c r="R22" s="1"/>
      <c r="S22" s="1"/>
    </row>
    <row r="23" spans="1:19" x14ac:dyDescent="0.25">
      <c r="A23" s="28"/>
      <c r="B23" s="18">
        <v>22</v>
      </c>
      <c r="C23" s="15">
        <v>130</v>
      </c>
      <c r="D23" s="17">
        <v>0.72770357604480829</v>
      </c>
      <c r="E23" s="16">
        <f t="shared" si="0"/>
        <v>178.64416814683244</v>
      </c>
      <c r="F23" s="16">
        <f t="shared" si="1"/>
        <v>191.01</v>
      </c>
      <c r="G23" s="16">
        <f t="shared" si="2"/>
        <v>138.99866006031883</v>
      </c>
      <c r="H23" s="17">
        <f t="shared" si="3"/>
        <v>8.9986600603188265</v>
      </c>
      <c r="I23" s="17">
        <f t="shared" si="4"/>
        <v>80.975882881177228</v>
      </c>
      <c r="K23" s="1" t="s">
        <v>26</v>
      </c>
      <c r="L23" s="1">
        <v>0.8641354799426163</v>
      </c>
      <c r="M23" s="1"/>
      <c r="N23" s="1"/>
      <c r="O23" s="1"/>
      <c r="P23" s="1"/>
      <c r="Q23" s="1"/>
      <c r="R23" s="1"/>
      <c r="S23" s="1"/>
    </row>
    <row r="24" spans="1:19" x14ac:dyDescent="0.25">
      <c r="A24" s="28"/>
      <c r="B24" s="18">
        <v>23</v>
      </c>
      <c r="C24" s="15">
        <v>167</v>
      </c>
      <c r="D24" s="17">
        <v>0.87117621714778115</v>
      </c>
      <c r="E24" s="16">
        <f t="shared" si="0"/>
        <v>191.69485657764588</v>
      </c>
      <c r="F24" s="16">
        <f t="shared" si="1"/>
        <v>191.96999999999997</v>
      </c>
      <c r="G24" s="16">
        <f t="shared" si="2"/>
        <v>167.23969840585951</v>
      </c>
      <c r="H24" s="17">
        <f t="shared" si="3"/>
        <v>0.23969840585951374</v>
      </c>
      <c r="I24" s="17">
        <f t="shared" si="4"/>
        <v>5.7455325771592174E-2</v>
      </c>
      <c r="K24" s="1" t="s">
        <v>27</v>
      </c>
      <c r="L24" s="1">
        <v>5.321438528814098</v>
      </c>
      <c r="M24" s="1"/>
      <c r="N24" s="1"/>
      <c r="O24" s="1"/>
      <c r="P24" s="1"/>
      <c r="Q24" s="1"/>
      <c r="R24" s="1"/>
      <c r="S24" s="1"/>
    </row>
    <row r="25" spans="1:19" ht="15.75" thickBot="1" x14ac:dyDescent="0.3">
      <c r="A25" s="28"/>
      <c r="B25" s="18">
        <v>24</v>
      </c>
      <c r="C25" s="15">
        <v>230</v>
      </c>
      <c r="D25" s="17">
        <v>1.1968978888410169</v>
      </c>
      <c r="E25" s="16">
        <f t="shared" si="0"/>
        <v>192.16342692584593</v>
      </c>
      <c r="F25" s="16">
        <f t="shared" si="1"/>
        <v>192.92999999999998</v>
      </c>
      <c r="G25" s="16">
        <f t="shared" si="2"/>
        <v>230.91750969409736</v>
      </c>
      <c r="H25" s="17">
        <f t="shared" si="3"/>
        <v>0.91750969409736172</v>
      </c>
      <c r="I25" s="17">
        <f t="shared" si="4"/>
        <v>0.84182403876263423</v>
      </c>
      <c r="K25" s="4" t="s">
        <v>28</v>
      </c>
      <c r="L25" s="4">
        <v>48</v>
      </c>
      <c r="M25" s="1"/>
      <c r="N25" s="1"/>
      <c r="O25" s="1"/>
      <c r="P25" s="1"/>
      <c r="Q25" s="1"/>
      <c r="R25" s="1"/>
      <c r="S25" s="1"/>
    </row>
    <row r="26" spans="1:19" x14ac:dyDescent="0.25">
      <c r="A26" s="28">
        <v>2022</v>
      </c>
      <c r="B26" s="18">
        <v>25</v>
      </c>
      <c r="C26" s="15">
        <v>282</v>
      </c>
      <c r="D26" s="17">
        <v>1.4127531236535977</v>
      </c>
      <c r="E26" s="16">
        <f t="shared" si="0"/>
        <v>199.61024702653245</v>
      </c>
      <c r="F26" s="16">
        <f t="shared" si="1"/>
        <v>193.89</v>
      </c>
      <c r="G26" s="16">
        <f t="shared" si="2"/>
        <v>273.91870314519605</v>
      </c>
      <c r="H26" s="17">
        <f t="shared" si="3"/>
        <v>8.0812968548039521</v>
      </c>
      <c r="I26" s="17">
        <f t="shared" si="4"/>
        <v>65.307358855464244</v>
      </c>
      <c r="K26" s="1"/>
      <c r="L26" s="1"/>
      <c r="M26" s="1"/>
      <c r="N26" s="1"/>
      <c r="O26" s="1"/>
      <c r="P26" s="1"/>
      <c r="Q26" s="1"/>
      <c r="R26" s="1"/>
      <c r="S26" s="1"/>
    </row>
    <row r="27" spans="1:19" ht="15.75" thickBot="1" x14ac:dyDescent="0.3">
      <c r="A27" s="28"/>
      <c r="B27" s="18">
        <v>26</v>
      </c>
      <c r="C27" s="15">
        <v>255</v>
      </c>
      <c r="D27" s="17">
        <v>1.3028866867729427</v>
      </c>
      <c r="E27" s="16">
        <f t="shared" si="0"/>
        <v>195.71924603174602</v>
      </c>
      <c r="F27" s="16">
        <f t="shared" si="1"/>
        <v>194.85</v>
      </c>
      <c r="G27" s="16">
        <f t="shared" si="2"/>
        <v>253.86747091770789</v>
      </c>
      <c r="H27" s="17">
        <f t="shared" si="3"/>
        <v>1.132529082292109</v>
      </c>
      <c r="I27" s="17">
        <f t="shared" si="4"/>
        <v>1.2826221222374066</v>
      </c>
      <c r="K27" s="1" t="s">
        <v>29</v>
      </c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28"/>
      <c r="B28" s="18">
        <v>27</v>
      </c>
      <c r="C28" s="15">
        <v>245</v>
      </c>
      <c r="D28" s="17">
        <v>1.2847910383455408</v>
      </c>
      <c r="E28" s="16">
        <f t="shared" si="0"/>
        <v>190.69248826291079</v>
      </c>
      <c r="F28" s="16">
        <f t="shared" si="1"/>
        <v>195.80999999999997</v>
      </c>
      <c r="G28" s="16">
        <f t="shared" si="2"/>
        <v>251.57493321844029</v>
      </c>
      <c r="H28" s="17">
        <f t="shared" si="3"/>
        <v>6.5749332184402931</v>
      </c>
      <c r="I28" s="17">
        <f t="shared" si="4"/>
        <v>43.229746826949629</v>
      </c>
      <c r="K28" s="5"/>
      <c r="L28" s="5" t="s">
        <v>34</v>
      </c>
      <c r="M28" s="5" t="s">
        <v>35</v>
      </c>
      <c r="N28" s="5" t="s">
        <v>36</v>
      </c>
      <c r="O28" s="5" t="s">
        <v>37</v>
      </c>
      <c r="P28" s="5" t="s">
        <v>38</v>
      </c>
      <c r="Q28" s="1"/>
      <c r="R28" s="1"/>
      <c r="S28" s="1"/>
    </row>
    <row r="29" spans="1:19" x14ac:dyDescent="0.25">
      <c r="A29" s="28"/>
      <c r="B29" s="18">
        <v>28</v>
      </c>
      <c r="C29" s="15">
        <v>205</v>
      </c>
      <c r="D29" s="17">
        <v>1.013356311934511</v>
      </c>
      <c r="E29" s="16">
        <f t="shared" si="0"/>
        <v>202.29804421768708</v>
      </c>
      <c r="F29" s="16">
        <f t="shared" si="1"/>
        <v>196.76999999999998</v>
      </c>
      <c r="G29" s="16">
        <f t="shared" si="2"/>
        <v>199.39812149935372</v>
      </c>
      <c r="H29" s="17">
        <f t="shared" si="3"/>
        <v>5.6018785006462792</v>
      </c>
      <c r="I29" s="17">
        <f t="shared" si="4"/>
        <v>31.381042736003007</v>
      </c>
      <c r="K29" s="1" t="s">
        <v>30</v>
      </c>
      <c r="L29" s="1">
        <v>1</v>
      </c>
      <c r="M29" s="1">
        <v>8493.410737854083</v>
      </c>
      <c r="N29" s="1">
        <v>8493.410737854083</v>
      </c>
      <c r="O29" s="1">
        <v>299.93284530905572</v>
      </c>
      <c r="P29" s="1">
        <v>8.7988605858171925E-22</v>
      </c>
      <c r="Q29" s="1"/>
      <c r="R29" s="1"/>
      <c r="S29" s="1"/>
    </row>
    <row r="30" spans="1:19" x14ac:dyDescent="0.25">
      <c r="A30" s="28"/>
      <c r="B30" s="18">
        <v>29</v>
      </c>
      <c r="C30" s="15">
        <v>210</v>
      </c>
      <c r="D30" s="17">
        <v>1.0353295993106419</v>
      </c>
      <c r="E30" s="16">
        <f t="shared" si="0"/>
        <v>202.83395755305867</v>
      </c>
      <c r="F30" s="16">
        <f t="shared" si="1"/>
        <v>197.73</v>
      </c>
      <c r="G30" s="16">
        <f t="shared" si="2"/>
        <v>204.71572167169322</v>
      </c>
      <c r="H30" s="17">
        <f t="shared" si="3"/>
        <v>5.2842783283067831</v>
      </c>
      <c r="I30" s="17">
        <f t="shared" si="4"/>
        <v>27.923597451012732</v>
      </c>
      <c r="K30" s="1" t="s">
        <v>31</v>
      </c>
      <c r="L30" s="1">
        <v>46</v>
      </c>
      <c r="M30" s="1">
        <v>1302.6145687335688</v>
      </c>
      <c r="N30" s="1">
        <v>28.317708015947147</v>
      </c>
      <c r="O30" s="1"/>
      <c r="P30" s="1"/>
      <c r="Q30" s="1"/>
      <c r="R30" s="1"/>
      <c r="S30" s="1"/>
    </row>
    <row r="31" spans="1:19" ht="15.75" thickBot="1" x14ac:dyDescent="0.3">
      <c r="A31" s="28"/>
      <c r="B31" s="18">
        <v>30</v>
      </c>
      <c r="C31" s="15">
        <v>160</v>
      </c>
      <c r="D31" s="17">
        <v>0.80654890133563129</v>
      </c>
      <c r="E31" s="16">
        <f t="shared" si="0"/>
        <v>198.37606837606836</v>
      </c>
      <c r="F31" s="16">
        <f t="shared" si="1"/>
        <v>198.69</v>
      </c>
      <c r="G31" s="16">
        <f t="shared" si="2"/>
        <v>160.25320120637659</v>
      </c>
      <c r="H31" s="17">
        <f t="shared" si="3"/>
        <v>0.25320120637658761</v>
      </c>
      <c r="I31" s="17">
        <f t="shared" si="4"/>
        <v>6.4110850910559306E-2</v>
      </c>
      <c r="K31" s="4" t="s">
        <v>32</v>
      </c>
      <c r="L31" s="4">
        <v>47</v>
      </c>
      <c r="M31" s="4">
        <v>9796.0253065876514</v>
      </c>
      <c r="N31" s="4"/>
      <c r="O31" s="4"/>
      <c r="P31" s="4"/>
      <c r="Q31" s="1"/>
      <c r="R31" s="1"/>
      <c r="S31" s="1"/>
    </row>
    <row r="32" spans="1:19" ht="15.75" thickBot="1" x14ac:dyDescent="0.3">
      <c r="A32" s="28"/>
      <c r="B32" s="18">
        <v>31</v>
      </c>
      <c r="C32" s="15">
        <v>165</v>
      </c>
      <c r="D32" s="17">
        <v>0.83886255924170616</v>
      </c>
      <c r="E32" s="16">
        <f t="shared" si="0"/>
        <v>196.69491525423729</v>
      </c>
      <c r="F32" s="16">
        <f t="shared" si="1"/>
        <v>199.64999999999998</v>
      </c>
      <c r="G32" s="16">
        <f t="shared" si="2"/>
        <v>167.47890995260661</v>
      </c>
      <c r="H32" s="17">
        <f t="shared" si="3"/>
        <v>2.4789099526066138</v>
      </c>
      <c r="I32" s="17">
        <f t="shared" si="4"/>
        <v>6.1449945531321246</v>
      </c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28"/>
      <c r="B33" s="18">
        <v>32</v>
      </c>
      <c r="C33" s="15">
        <v>175</v>
      </c>
      <c r="D33" s="17">
        <v>0.87893149504523915</v>
      </c>
      <c r="E33" s="16">
        <f t="shared" si="0"/>
        <v>199.10539215686273</v>
      </c>
      <c r="F33" s="16">
        <f t="shared" si="1"/>
        <v>200.60999999999999</v>
      </c>
      <c r="G33" s="16">
        <f t="shared" si="2"/>
        <v>176.32244722102541</v>
      </c>
      <c r="H33" s="17">
        <f t="shared" si="3"/>
        <v>1.3224472210254135</v>
      </c>
      <c r="I33" s="17">
        <f t="shared" si="4"/>
        <v>1.7488666523978387</v>
      </c>
      <c r="K33" s="5"/>
      <c r="L33" s="5" t="s">
        <v>39</v>
      </c>
      <c r="M33" s="5" t="s">
        <v>27</v>
      </c>
      <c r="N33" s="5" t="s">
        <v>40</v>
      </c>
      <c r="O33" s="5" t="s">
        <v>41</v>
      </c>
      <c r="P33" s="5" t="s">
        <v>42</v>
      </c>
      <c r="Q33" s="5" t="s">
        <v>43</v>
      </c>
      <c r="R33" s="5" t="s">
        <v>44</v>
      </c>
      <c r="S33" s="5" t="s">
        <v>45</v>
      </c>
    </row>
    <row r="34" spans="1:19" x14ac:dyDescent="0.25">
      <c r="A34" s="28"/>
      <c r="B34" s="18">
        <v>33</v>
      </c>
      <c r="C34" s="15">
        <v>126</v>
      </c>
      <c r="D34" s="17">
        <v>0.63076260232658343</v>
      </c>
      <c r="E34" s="16">
        <f t="shared" si="0"/>
        <v>199.75819672131146</v>
      </c>
      <c r="F34" s="16">
        <f t="shared" si="1"/>
        <v>201.57</v>
      </c>
      <c r="G34" s="16">
        <f t="shared" si="2"/>
        <v>127.14281775096941</v>
      </c>
      <c r="H34" s="17">
        <f t="shared" si="3"/>
        <v>1.1428177509694137</v>
      </c>
      <c r="I34" s="17">
        <f t="shared" si="4"/>
        <v>1.3060324119307889</v>
      </c>
      <c r="K34" s="1" t="s">
        <v>33</v>
      </c>
      <c r="L34" s="20">
        <v>169.89163681628733</v>
      </c>
      <c r="M34" s="1">
        <v>1.5604877617472146</v>
      </c>
      <c r="N34" s="1">
        <v>108.87085498579405</v>
      </c>
      <c r="O34" s="1">
        <v>3.7654026591494472E-57</v>
      </c>
      <c r="P34" s="1">
        <v>166.75053786849872</v>
      </c>
      <c r="Q34" s="1">
        <v>173.03273576407594</v>
      </c>
      <c r="R34" s="1">
        <v>166.75053786849872</v>
      </c>
      <c r="S34" s="1">
        <v>173.03273576407594</v>
      </c>
    </row>
    <row r="35" spans="1:19" ht="15.75" thickBot="1" x14ac:dyDescent="0.3">
      <c r="A35" s="28"/>
      <c r="B35" s="18">
        <v>34</v>
      </c>
      <c r="C35" s="15">
        <v>148</v>
      </c>
      <c r="D35" s="17">
        <v>0.72770357604480829</v>
      </c>
      <c r="E35" s="16">
        <f t="shared" si="0"/>
        <v>203.37951450562463</v>
      </c>
      <c r="F35" s="16">
        <f t="shared" si="1"/>
        <v>202.52999999999997</v>
      </c>
      <c r="G35" s="16">
        <f t="shared" si="2"/>
        <v>147.38180525635499</v>
      </c>
      <c r="H35" s="17">
        <f t="shared" si="3"/>
        <v>0.61819474364500593</v>
      </c>
      <c r="I35" s="17">
        <f t="shared" si="4"/>
        <v>0.38216474107031462</v>
      </c>
      <c r="K35" s="4" t="s">
        <v>46</v>
      </c>
      <c r="L35" s="21">
        <v>0.96020530001548132</v>
      </c>
      <c r="M35" s="4">
        <v>5.5443684697288352E-2</v>
      </c>
      <c r="N35" s="4">
        <v>17.318569378244142</v>
      </c>
      <c r="O35" s="4">
        <v>8.7988605858171925E-22</v>
      </c>
      <c r="P35" s="4">
        <v>0.84860295110043305</v>
      </c>
      <c r="Q35" s="4">
        <v>1.0718076489305295</v>
      </c>
      <c r="R35" s="4">
        <v>0.84860295110043305</v>
      </c>
      <c r="S35" s="4">
        <v>1.0718076489305295</v>
      </c>
    </row>
    <row r="36" spans="1:19" x14ac:dyDescent="0.25">
      <c r="A36" s="28"/>
      <c r="B36" s="18">
        <v>35</v>
      </c>
      <c r="C36" s="15">
        <v>173</v>
      </c>
      <c r="D36" s="17">
        <v>0.87117621714778115</v>
      </c>
      <c r="E36" s="16">
        <f t="shared" si="0"/>
        <v>198.58209693372896</v>
      </c>
      <c r="F36" s="16">
        <f t="shared" si="1"/>
        <v>203.48999999999998</v>
      </c>
      <c r="G36" s="16">
        <f t="shared" si="2"/>
        <v>177.27564842740196</v>
      </c>
      <c r="H36" s="17">
        <f t="shared" si="3"/>
        <v>4.2756484274019613</v>
      </c>
      <c r="I36" s="17">
        <f t="shared" si="4"/>
        <v>18.281169474744864</v>
      </c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28"/>
      <c r="B37" s="18">
        <v>36</v>
      </c>
      <c r="C37" s="15">
        <v>235</v>
      </c>
      <c r="D37" s="17">
        <v>1.1968978888410169</v>
      </c>
      <c r="E37" s="16">
        <f t="shared" si="0"/>
        <v>196.34089272858171</v>
      </c>
      <c r="F37" s="16">
        <f t="shared" si="1"/>
        <v>204.45</v>
      </c>
      <c r="G37" s="16">
        <f t="shared" si="2"/>
        <v>244.7057733735459</v>
      </c>
      <c r="H37" s="17">
        <f t="shared" si="3"/>
        <v>9.7057733735458953</v>
      </c>
      <c r="I37" s="17">
        <f t="shared" si="4"/>
        <v>94.202036778632475</v>
      </c>
      <c r="K37" s="22" t="s">
        <v>47</v>
      </c>
      <c r="L37" s="1"/>
      <c r="M37" s="1"/>
      <c r="N37" s="19" t="s">
        <v>60</v>
      </c>
      <c r="O37" s="1"/>
      <c r="P37" s="1"/>
      <c r="Q37" s="1"/>
      <c r="R37" s="1"/>
      <c r="S37" s="1"/>
    </row>
    <row r="38" spans="1:19" x14ac:dyDescent="0.25">
      <c r="A38" s="28">
        <v>2023</v>
      </c>
      <c r="B38" s="18">
        <v>37</v>
      </c>
      <c r="C38" s="15">
        <v>306</v>
      </c>
      <c r="D38" s="17">
        <v>1.4127531236535977</v>
      </c>
      <c r="E38" s="16">
        <f t="shared" si="0"/>
        <v>216.59835315645012</v>
      </c>
      <c r="F38" s="16">
        <f t="shared" si="1"/>
        <v>205.40999999999997</v>
      </c>
      <c r="G38" s="16">
        <f t="shared" si="2"/>
        <v>290.19361912968549</v>
      </c>
      <c r="H38" s="17">
        <f t="shared" si="3"/>
        <v>15.806380870314513</v>
      </c>
      <c r="I38" s="17">
        <f t="shared" si="4"/>
        <v>249.84167621744459</v>
      </c>
    </row>
    <row r="39" spans="1:19" x14ac:dyDescent="0.25">
      <c r="A39" s="28"/>
      <c r="B39" s="18">
        <v>38</v>
      </c>
      <c r="C39" s="15">
        <v>280</v>
      </c>
      <c r="D39" s="17">
        <v>1.3028866867729427</v>
      </c>
      <c r="E39" s="16">
        <f t="shared" si="0"/>
        <v>214.90740740740739</v>
      </c>
      <c r="F39" s="16">
        <f t="shared" si="1"/>
        <v>206.36999999999998</v>
      </c>
      <c r="G39" s="16">
        <f t="shared" si="2"/>
        <v>268.87672554933215</v>
      </c>
      <c r="H39" s="17">
        <f t="shared" si="3"/>
        <v>11.12327445066785</v>
      </c>
      <c r="I39" s="17">
        <f t="shared" si="4"/>
        <v>123.72723450488016</v>
      </c>
    </row>
    <row r="40" spans="1:19" x14ac:dyDescent="0.25">
      <c r="A40" s="28"/>
      <c r="B40" s="18">
        <v>39</v>
      </c>
      <c r="C40" s="15">
        <v>270</v>
      </c>
      <c r="D40" s="17">
        <v>1.2847910383455408</v>
      </c>
      <c r="E40" s="16">
        <f t="shared" si="0"/>
        <v>210.15090543259558</v>
      </c>
      <c r="F40" s="16">
        <f t="shared" si="1"/>
        <v>207.32999999999998</v>
      </c>
      <c r="G40" s="16">
        <f t="shared" si="2"/>
        <v>266.37572598018096</v>
      </c>
      <c r="H40" s="17">
        <f t="shared" si="3"/>
        <v>3.6242740198190404</v>
      </c>
      <c r="I40" s="17">
        <f t="shared" si="4"/>
        <v>13.135362170735267</v>
      </c>
    </row>
    <row r="41" spans="1:19" x14ac:dyDescent="0.25">
      <c r="A41" s="28"/>
      <c r="B41" s="18">
        <v>40</v>
      </c>
      <c r="C41" s="15">
        <v>210</v>
      </c>
      <c r="D41" s="17">
        <v>1.013356311934511</v>
      </c>
      <c r="E41" s="16">
        <f t="shared" si="0"/>
        <v>207.23214285714286</v>
      </c>
      <c r="F41" s="16">
        <f t="shared" si="1"/>
        <v>208.29</v>
      </c>
      <c r="G41" s="16">
        <f t="shared" si="2"/>
        <v>211.07198621283931</v>
      </c>
      <c r="H41" s="17">
        <f t="shared" si="3"/>
        <v>1.0719862128393061</v>
      </c>
      <c r="I41" s="17">
        <f t="shared" si="4"/>
        <v>1.149154440517558</v>
      </c>
    </row>
    <row r="42" spans="1:19" x14ac:dyDescent="0.25">
      <c r="A42" s="28"/>
      <c r="B42" s="18">
        <v>41</v>
      </c>
      <c r="C42" s="15">
        <v>214</v>
      </c>
      <c r="D42" s="17">
        <v>1.0353295993106419</v>
      </c>
      <c r="E42" s="16">
        <f t="shared" si="0"/>
        <v>206.69746150645028</v>
      </c>
      <c r="F42" s="16">
        <f t="shared" si="1"/>
        <v>209.25</v>
      </c>
      <c r="G42" s="16">
        <f t="shared" si="2"/>
        <v>216.64271865575182</v>
      </c>
      <c r="H42" s="17">
        <f t="shared" si="3"/>
        <v>2.6427186557518212</v>
      </c>
      <c r="I42" s="17">
        <f t="shared" si="4"/>
        <v>6.9839618934587131</v>
      </c>
    </row>
    <row r="43" spans="1:19" x14ac:dyDescent="0.25">
      <c r="A43" s="28"/>
      <c r="B43" s="18">
        <v>42</v>
      </c>
      <c r="C43" s="15">
        <v>175</v>
      </c>
      <c r="D43" s="17">
        <v>0.80654890133563129</v>
      </c>
      <c r="E43" s="16">
        <f t="shared" si="0"/>
        <v>216.97382478632477</v>
      </c>
      <c r="F43" s="16">
        <f t="shared" si="1"/>
        <v>210.20999999999998</v>
      </c>
      <c r="G43" s="16">
        <f t="shared" si="2"/>
        <v>169.54464454976304</v>
      </c>
      <c r="H43" s="17">
        <f t="shared" si="3"/>
        <v>5.455355450236965</v>
      </c>
      <c r="I43" s="17">
        <f t="shared" si="4"/>
        <v>29.760903088430158</v>
      </c>
    </row>
    <row r="44" spans="1:19" x14ac:dyDescent="0.25">
      <c r="A44" s="28"/>
      <c r="B44" s="18">
        <v>43</v>
      </c>
      <c r="C44" s="15">
        <v>182</v>
      </c>
      <c r="D44" s="17">
        <v>0.83886255924170616</v>
      </c>
      <c r="E44" s="16">
        <f t="shared" si="0"/>
        <v>216.96045197740114</v>
      </c>
      <c r="F44" s="16">
        <f t="shared" si="1"/>
        <v>211.17</v>
      </c>
      <c r="G44" s="16">
        <f t="shared" si="2"/>
        <v>177.14260663507108</v>
      </c>
      <c r="H44" s="17">
        <f t="shared" si="3"/>
        <v>4.8573933649289245</v>
      </c>
      <c r="I44" s="17">
        <f t="shared" si="4"/>
        <v>23.594270301655541</v>
      </c>
    </row>
    <row r="45" spans="1:19" x14ac:dyDescent="0.25">
      <c r="A45" s="28"/>
      <c r="B45" s="18">
        <v>44</v>
      </c>
      <c r="C45" s="15">
        <v>193</v>
      </c>
      <c r="D45" s="17">
        <v>0.87893149504523915</v>
      </c>
      <c r="E45" s="16">
        <f t="shared" si="0"/>
        <v>219.58480392156861</v>
      </c>
      <c r="F45" s="16">
        <f t="shared" si="1"/>
        <v>212.13</v>
      </c>
      <c r="G45" s="16">
        <f t="shared" si="2"/>
        <v>186.44773804394657</v>
      </c>
      <c r="H45" s="17">
        <f t="shared" si="3"/>
        <v>6.5522619560534281</v>
      </c>
      <c r="I45" s="17">
        <f t="shared" si="4"/>
        <v>42.932136740745094</v>
      </c>
    </row>
    <row r="46" spans="1:19" x14ac:dyDescent="0.25">
      <c r="A46" s="28"/>
      <c r="B46" s="18">
        <v>45</v>
      </c>
      <c r="C46" s="15">
        <v>130</v>
      </c>
      <c r="D46" s="17">
        <v>0.63076260232658343</v>
      </c>
      <c r="E46" s="16">
        <f t="shared" si="0"/>
        <v>206.09972677595627</v>
      </c>
      <c r="F46" s="16">
        <f t="shared" si="1"/>
        <v>213.08999999999997</v>
      </c>
      <c r="G46" s="16">
        <f t="shared" si="2"/>
        <v>134.40920292977165</v>
      </c>
      <c r="H46" s="17">
        <f t="shared" si="3"/>
        <v>4.4092029297716522</v>
      </c>
      <c r="I46" s="17">
        <f t="shared" si="4"/>
        <v>19.441070475906923</v>
      </c>
    </row>
    <row r="47" spans="1:19" x14ac:dyDescent="0.25">
      <c r="A47" s="28"/>
      <c r="B47" s="18">
        <v>46</v>
      </c>
      <c r="C47" s="15">
        <v>155</v>
      </c>
      <c r="D47" s="17">
        <v>0.72770357604480829</v>
      </c>
      <c r="E47" s="16">
        <f t="shared" si="0"/>
        <v>212.99881586737715</v>
      </c>
      <c r="F47" s="16">
        <f t="shared" si="1"/>
        <v>214.04999999999998</v>
      </c>
      <c r="G47" s="16">
        <f t="shared" si="2"/>
        <v>155.76495045239119</v>
      </c>
      <c r="H47" s="17">
        <f t="shared" si="3"/>
        <v>0.76495045239119008</v>
      </c>
      <c r="I47" s="17">
        <f t="shared" si="4"/>
        <v>0.58514919461348636</v>
      </c>
    </row>
    <row r="48" spans="1:19" x14ac:dyDescent="0.25">
      <c r="A48" s="28"/>
      <c r="B48" s="18">
        <v>47</v>
      </c>
      <c r="C48" s="15">
        <v>182</v>
      </c>
      <c r="D48" s="17">
        <v>0.87117621714778115</v>
      </c>
      <c r="E48" s="16">
        <f t="shared" si="0"/>
        <v>208.9129574678536</v>
      </c>
      <c r="F48" s="16">
        <f t="shared" si="1"/>
        <v>215.01</v>
      </c>
      <c r="G48" s="16">
        <f t="shared" si="2"/>
        <v>187.31159844894441</v>
      </c>
      <c r="H48" s="17">
        <f t="shared" si="3"/>
        <v>5.3115984489444088</v>
      </c>
      <c r="I48" s="17">
        <f t="shared" si="4"/>
        <v>28.213078082828648</v>
      </c>
    </row>
    <row r="49" spans="1:9" x14ac:dyDescent="0.25">
      <c r="A49" s="28"/>
      <c r="B49" s="18">
        <v>48</v>
      </c>
      <c r="C49" s="15">
        <v>255</v>
      </c>
      <c r="D49" s="17">
        <v>1.1968978888410169</v>
      </c>
      <c r="E49" s="16">
        <f t="shared" si="0"/>
        <v>213.05075593952483</v>
      </c>
      <c r="F49" s="16">
        <f t="shared" si="1"/>
        <v>215.96999999999997</v>
      </c>
      <c r="G49" s="16">
        <f t="shared" si="2"/>
        <v>258.49403705299437</v>
      </c>
      <c r="H49" s="17">
        <f t="shared" si="3"/>
        <v>3.4940370529943721</v>
      </c>
      <c r="I49" s="17">
        <f t="shared" si="4"/>
        <v>12.208294927697596</v>
      </c>
    </row>
    <row r="50" spans="1:9" x14ac:dyDescent="0.25">
      <c r="A50" s="28">
        <v>2024</v>
      </c>
      <c r="B50" s="18">
        <v>49</v>
      </c>
      <c r="C50" s="18"/>
      <c r="D50" s="17">
        <v>1.4127531236535977</v>
      </c>
      <c r="E50" s="18"/>
      <c r="F50" s="16">
        <f t="shared" si="1"/>
        <v>216.92999999999998</v>
      </c>
      <c r="G50" s="27">
        <f t="shared" si="2"/>
        <v>306.46853511417493</v>
      </c>
      <c r="H50" s="18"/>
      <c r="I50" s="18"/>
    </row>
    <row r="51" spans="1:9" x14ac:dyDescent="0.25">
      <c r="A51" s="28"/>
      <c r="B51" s="18">
        <v>50</v>
      </c>
      <c r="C51" s="18"/>
      <c r="D51" s="17">
        <v>1.3028866867729427</v>
      </c>
      <c r="E51" s="18"/>
      <c r="F51" s="16">
        <f t="shared" si="1"/>
        <v>217.89</v>
      </c>
      <c r="G51" s="27">
        <f t="shared" si="2"/>
        <v>283.88598018095649</v>
      </c>
      <c r="H51" s="18"/>
      <c r="I51" s="18"/>
    </row>
    <row r="52" spans="1:9" x14ac:dyDescent="0.25">
      <c r="A52" s="28"/>
      <c r="B52" s="18">
        <v>51</v>
      </c>
      <c r="C52" s="18"/>
      <c r="D52" s="17">
        <v>1.2847910383455408</v>
      </c>
      <c r="E52" s="18"/>
      <c r="F52" s="16">
        <f t="shared" si="1"/>
        <v>218.85</v>
      </c>
      <c r="G52" s="27">
        <f t="shared" si="2"/>
        <v>281.1765187419216</v>
      </c>
      <c r="H52" s="18"/>
      <c r="I52" s="18"/>
    </row>
    <row r="53" spans="1:9" x14ac:dyDescent="0.25">
      <c r="A53" s="28"/>
      <c r="B53" s="18">
        <v>52</v>
      </c>
      <c r="C53" s="18"/>
      <c r="D53" s="17">
        <v>1.013356311934511</v>
      </c>
      <c r="E53" s="18"/>
      <c r="F53" s="16">
        <f t="shared" si="1"/>
        <v>219.81</v>
      </c>
      <c r="G53" s="27">
        <f t="shared" si="2"/>
        <v>222.74585092632486</v>
      </c>
      <c r="H53" s="18"/>
      <c r="I53" s="18"/>
    </row>
    <row r="54" spans="1:9" x14ac:dyDescent="0.25">
      <c r="A54" s="28"/>
      <c r="B54" s="18">
        <v>53</v>
      </c>
      <c r="C54" s="18"/>
      <c r="D54" s="17">
        <v>1.0353295993106419</v>
      </c>
      <c r="E54" s="18"/>
      <c r="F54" s="16">
        <f t="shared" si="1"/>
        <v>220.76999999999998</v>
      </c>
      <c r="G54" s="27">
        <f t="shared" si="2"/>
        <v>228.5697156398104</v>
      </c>
      <c r="H54" s="18"/>
      <c r="I54" s="18"/>
    </row>
    <row r="55" spans="1:9" x14ac:dyDescent="0.25">
      <c r="A55" s="28"/>
      <c r="B55" s="18">
        <v>54</v>
      </c>
      <c r="C55" s="18"/>
      <c r="D55" s="17">
        <v>0.80654890133563129</v>
      </c>
      <c r="E55" s="18"/>
      <c r="F55" s="16">
        <f t="shared" si="1"/>
        <v>221.73</v>
      </c>
      <c r="G55" s="27">
        <f t="shared" si="2"/>
        <v>178.83608789314951</v>
      </c>
      <c r="H55" s="18"/>
      <c r="I55" s="18"/>
    </row>
    <row r="56" spans="1:9" x14ac:dyDescent="0.25">
      <c r="A56" s="28"/>
      <c r="B56" s="18">
        <v>55</v>
      </c>
      <c r="C56" s="18"/>
      <c r="D56" s="17">
        <v>0.83886255924170616</v>
      </c>
      <c r="E56" s="18"/>
      <c r="F56" s="16">
        <f t="shared" si="1"/>
        <v>222.69</v>
      </c>
      <c r="G56" s="27">
        <f t="shared" si="2"/>
        <v>186.80630331753554</v>
      </c>
      <c r="H56" s="18"/>
      <c r="I56" s="18"/>
    </row>
    <row r="57" spans="1:9" x14ac:dyDescent="0.25">
      <c r="A57" s="28"/>
      <c r="B57" s="18">
        <v>56</v>
      </c>
      <c r="C57" s="18"/>
      <c r="D57" s="17">
        <v>0.87893149504523915</v>
      </c>
      <c r="E57" s="18"/>
      <c r="F57" s="16">
        <f t="shared" si="1"/>
        <v>223.64999999999998</v>
      </c>
      <c r="G57" s="27">
        <f t="shared" si="2"/>
        <v>196.57302886686773</v>
      </c>
      <c r="H57" s="18"/>
      <c r="I57" s="18"/>
    </row>
    <row r="58" spans="1:9" x14ac:dyDescent="0.25">
      <c r="A58" s="28"/>
      <c r="B58" s="18">
        <v>57</v>
      </c>
      <c r="C58" s="18"/>
      <c r="D58" s="17">
        <v>0.63076260232658343</v>
      </c>
      <c r="E58" s="18"/>
      <c r="F58" s="16">
        <f t="shared" si="1"/>
        <v>224.60999999999999</v>
      </c>
      <c r="G58" s="27">
        <f t="shared" si="2"/>
        <v>141.67558810857389</v>
      </c>
      <c r="H58" s="18"/>
      <c r="I58" s="18"/>
    </row>
    <row r="59" spans="1:9" x14ac:dyDescent="0.25">
      <c r="A59" s="28"/>
      <c r="B59" s="18">
        <v>58</v>
      </c>
      <c r="C59" s="18"/>
      <c r="D59" s="17">
        <v>0.72770357604480829</v>
      </c>
      <c r="E59" s="18"/>
      <c r="F59" s="16">
        <f t="shared" si="1"/>
        <v>225.57</v>
      </c>
      <c r="G59" s="27">
        <f t="shared" si="2"/>
        <v>164.14809564842739</v>
      </c>
      <c r="H59" s="18"/>
      <c r="I59" s="18"/>
    </row>
    <row r="60" spans="1:9" x14ac:dyDescent="0.25">
      <c r="A60" s="28"/>
      <c r="B60" s="18">
        <v>59</v>
      </c>
      <c r="C60" s="18"/>
      <c r="D60" s="17">
        <v>0.87117621714778115</v>
      </c>
      <c r="E60" s="18"/>
      <c r="F60" s="16">
        <f t="shared" si="1"/>
        <v>226.52999999999997</v>
      </c>
      <c r="G60" s="27">
        <f t="shared" si="2"/>
        <v>197.34754847048683</v>
      </c>
      <c r="H60" s="18"/>
      <c r="I60" s="18"/>
    </row>
    <row r="61" spans="1:9" x14ac:dyDescent="0.25">
      <c r="A61" s="28"/>
      <c r="B61" s="18">
        <v>60</v>
      </c>
      <c r="C61" s="18"/>
      <c r="D61" s="17">
        <v>1.1968978888410169</v>
      </c>
      <c r="E61" s="18"/>
      <c r="F61" s="16">
        <f t="shared" si="1"/>
        <v>227.48999999999998</v>
      </c>
      <c r="G61" s="27">
        <f t="shared" si="2"/>
        <v>272.28230073244293</v>
      </c>
      <c r="H61" s="18"/>
      <c r="I61" s="18"/>
    </row>
    <row r="62" spans="1:9" x14ac:dyDescent="0.25">
      <c r="A62" s="1"/>
      <c r="B62" s="1"/>
      <c r="C62" s="1"/>
    </row>
    <row r="63" spans="1:9" ht="23.25" x14ac:dyDescent="0.35">
      <c r="A63" s="1"/>
      <c r="B63" s="23" t="s">
        <v>61</v>
      </c>
      <c r="C63" s="1"/>
    </row>
    <row r="64" spans="1:9" x14ac:dyDescent="0.25">
      <c r="A64" s="1"/>
      <c r="B64" s="1"/>
      <c r="C64" s="1"/>
    </row>
    <row r="65" spans="1:3" x14ac:dyDescent="0.25">
      <c r="A65" s="1"/>
      <c r="B65" s="1"/>
      <c r="C65" s="1"/>
    </row>
  </sheetData>
  <mergeCells count="5">
    <mergeCell ref="A50:A61"/>
    <mergeCell ref="A38:A49"/>
    <mergeCell ref="A26:A37"/>
    <mergeCell ref="A14:A25"/>
    <mergeCell ref="A2:A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Decomposition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Chau, Jordon L</dc:creator>
  <cp:lastModifiedBy>Chau, Jordon L</cp:lastModifiedBy>
  <dcterms:created xsi:type="dcterms:W3CDTF">2024-10-31T01:30:51Z</dcterms:created>
  <dcterms:modified xsi:type="dcterms:W3CDTF">2024-11-13T02:17:28Z</dcterms:modified>
</cp:coreProperties>
</file>